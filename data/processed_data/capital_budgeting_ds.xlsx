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L2_Capital_Budgeting\data\processed_data\"/>
    </mc:Choice>
  </mc:AlternateContent>
  <xr:revisionPtr revIDLastSave="0" documentId="13_ncr:1_{90E6B61D-FB8B-4D9C-86FC-2F1EBED99FAA}" xr6:coauthVersionLast="47" xr6:coauthVersionMax="47" xr10:uidLastSave="{00000000-0000-0000-0000-000000000000}"/>
  <bookViews>
    <workbookView xWindow="-96" yWindow="0" windowWidth="15024" windowHeight="12336" xr2:uid="{58F4E62B-1BF5-4D1D-9F53-518DEF65DD8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" i="1" l="1"/>
  <c r="J37" i="1" s="1"/>
  <c r="I38" i="1"/>
  <c r="I39" i="1"/>
  <c r="I40" i="1"/>
  <c r="I41" i="1"/>
  <c r="I42" i="1"/>
  <c r="I43" i="1"/>
  <c r="J43" i="1" s="1"/>
  <c r="I44" i="1"/>
  <c r="J44" i="1" s="1"/>
  <c r="I45" i="1"/>
  <c r="I46" i="1"/>
  <c r="J46" i="1" s="1"/>
  <c r="I47" i="1"/>
  <c r="J47" i="1" s="1"/>
  <c r="I48" i="1"/>
  <c r="I49" i="1"/>
  <c r="I50" i="1"/>
  <c r="J50" i="1" s="1"/>
  <c r="I51" i="1"/>
  <c r="I52" i="1"/>
  <c r="I53" i="1"/>
  <c r="I54" i="1"/>
  <c r="J54" i="1" s="1"/>
  <c r="I6" i="1"/>
  <c r="J6" i="1" s="1"/>
  <c r="I7" i="1"/>
  <c r="J7" i="1" s="1"/>
  <c r="I8" i="1"/>
  <c r="I9" i="1"/>
  <c r="I10" i="1"/>
  <c r="I11" i="1"/>
  <c r="J11" i="1" s="1"/>
  <c r="I12" i="1"/>
  <c r="J12" i="1" s="1"/>
  <c r="I13" i="1"/>
  <c r="I14" i="1"/>
  <c r="I15" i="1"/>
  <c r="I16" i="1"/>
  <c r="J16" i="1" s="1"/>
  <c r="I17" i="1"/>
  <c r="J17" i="1" s="1"/>
  <c r="I18" i="1"/>
  <c r="J18" i="1" s="1"/>
  <c r="I19" i="1"/>
  <c r="J19" i="1" s="1"/>
  <c r="I20" i="1"/>
  <c r="I21" i="1"/>
  <c r="I22" i="1"/>
  <c r="J22" i="1" s="1"/>
  <c r="I23" i="1"/>
  <c r="J23" i="1" s="1"/>
  <c r="I24" i="1"/>
  <c r="J24" i="1" s="1"/>
  <c r="I25" i="1"/>
  <c r="I26" i="1"/>
  <c r="I27" i="1"/>
  <c r="J27" i="1" s="1"/>
  <c r="I28" i="1"/>
  <c r="J28" i="1" s="1"/>
  <c r="I29" i="1"/>
  <c r="J29" i="1" s="1"/>
  <c r="I30" i="1"/>
  <c r="J30" i="1" s="1"/>
  <c r="I31" i="1"/>
  <c r="J31" i="1" s="1"/>
  <c r="I32" i="1"/>
  <c r="I33" i="1"/>
  <c r="J33" i="1" s="1"/>
  <c r="I34" i="1"/>
  <c r="J34" i="1" s="1"/>
  <c r="I35" i="1"/>
  <c r="J35" i="1" s="1"/>
  <c r="I36" i="1"/>
  <c r="J36" i="1" s="1"/>
  <c r="I5" i="1"/>
  <c r="J38" i="1"/>
  <c r="J39" i="1"/>
  <c r="J40" i="1"/>
  <c r="J41" i="1"/>
  <c r="J42" i="1"/>
  <c r="J26" i="1"/>
  <c r="J32" i="1"/>
  <c r="J45" i="1"/>
  <c r="J48" i="1"/>
  <c r="J49" i="1"/>
  <c r="J51" i="1"/>
  <c r="J52" i="1"/>
  <c r="J53" i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F31" i="1" s="1"/>
  <c r="D32" i="1"/>
  <c r="E32" i="1" s="1"/>
  <c r="D33" i="1"/>
  <c r="E33" i="1" s="1"/>
  <c r="D34" i="1"/>
  <c r="F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F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J25" i="1"/>
  <c r="J20" i="1"/>
  <c r="J21" i="1"/>
  <c r="D15" i="1"/>
  <c r="F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F21" i="1" s="1"/>
  <c r="D22" i="1"/>
  <c r="E22" i="1" s="1"/>
  <c r="D23" i="1"/>
  <c r="E23" i="1" s="1"/>
  <c r="D24" i="1"/>
  <c r="E24" i="1" s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5" i="1"/>
  <c r="F5" i="1" s="1"/>
  <c r="J15" i="1"/>
  <c r="J8" i="1"/>
  <c r="J9" i="1"/>
  <c r="J10" i="1"/>
  <c r="J13" i="1"/>
  <c r="J14" i="1"/>
  <c r="J5" i="1"/>
  <c r="G53" i="1" l="1"/>
  <c r="G29" i="1"/>
  <c r="F45" i="1"/>
  <c r="G31" i="1"/>
  <c r="F33" i="1"/>
  <c r="H32" i="1"/>
  <c r="F48" i="1"/>
  <c r="G36" i="1"/>
  <c r="H48" i="1"/>
  <c r="H36" i="1"/>
  <c r="F47" i="1"/>
  <c r="G35" i="1"/>
  <c r="H47" i="1"/>
  <c r="H35" i="1"/>
  <c r="G34" i="1"/>
  <c r="H46" i="1"/>
  <c r="H34" i="1"/>
  <c r="F35" i="1"/>
  <c r="G32" i="1"/>
  <c r="H45" i="1"/>
  <c r="H33" i="1"/>
  <c r="H44" i="1"/>
  <c r="H31" i="1"/>
  <c r="H30" i="1"/>
  <c r="G47" i="1"/>
  <c r="H53" i="1"/>
  <c r="H41" i="1"/>
  <c r="H29" i="1"/>
  <c r="H43" i="1"/>
  <c r="G46" i="1"/>
  <c r="H52" i="1"/>
  <c r="H40" i="1"/>
  <c r="H28" i="1"/>
  <c r="G48" i="1"/>
  <c r="G44" i="1"/>
  <c r="H51" i="1"/>
  <c r="H39" i="1"/>
  <c r="H27" i="1"/>
  <c r="H54" i="1"/>
  <c r="G43" i="1"/>
  <c r="H50" i="1"/>
  <c r="H38" i="1"/>
  <c r="H26" i="1"/>
  <c r="H42" i="1"/>
  <c r="G41" i="1"/>
  <c r="H49" i="1"/>
  <c r="H37" i="1"/>
  <c r="H25" i="1"/>
  <c r="F36" i="1"/>
  <c r="G45" i="1"/>
  <c r="G33" i="1"/>
  <c r="G54" i="1"/>
  <c r="G42" i="1"/>
  <c r="G30" i="1"/>
  <c r="E43" i="1"/>
  <c r="G52" i="1"/>
  <c r="G40" i="1"/>
  <c r="G28" i="1"/>
  <c r="G51" i="1"/>
  <c r="G39" i="1"/>
  <c r="G27" i="1"/>
  <c r="E34" i="1"/>
  <c r="G50" i="1"/>
  <c r="G38" i="1"/>
  <c r="G26" i="1"/>
  <c r="G49" i="1"/>
  <c r="G37" i="1"/>
  <c r="G25" i="1"/>
  <c r="F46" i="1"/>
  <c r="E31" i="1"/>
  <c r="F54" i="1"/>
  <c r="L54" i="1" s="1"/>
  <c r="F42" i="1"/>
  <c r="F30" i="1"/>
  <c r="F53" i="1"/>
  <c r="F41" i="1"/>
  <c r="F29" i="1"/>
  <c r="F44" i="1"/>
  <c r="F52" i="1"/>
  <c r="F40" i="1"/>
  <c r="F28" i="1"/>
  <c r="F51" i="1"/>
  <c r="F39" i="1"/>
  <c r="F27" i="1"/>
  <c r="F32" i="1"/>
  <c r="F50" i="1"/>
  <c r="F38" i="1"/>
  <c r="F26" i="1"/>
  <c r="F49" i="1"/>
  <c r="F37" i="1"/>
  <c r="F25" i="1"/>
  <c r="H21" i="1"/>
  <c r="F17" i="1"/>
  <c r="F16" i="1"/>
  <c r="H19" i="1"/>
  <c r="H18" i="1"/>
  <c r="H24" i="1"/>
  <c r="H23" i="1"/>
  <c r="H22" i="1"/>
  <c r="H20" i="1"/>
  <c r="H17" i="1"/>
  <c r="H16" i="1"/>
  <c r="H15" i="1"/>
  <c r="G19" i="1"/>
  <c r="G18" i="1"/>
  <c r="G24" i="1"/>
  <c r="G23" i="1"/>
  <c r="G22" i="1"/>
  <c r="G21" i="1"/>
  <c r="G20" i="1"/>
  <c r="G17" i="1"/>
  <c r="E21" i="1"/>
  <c r="G16" i="1"/>
  <c r="E15" i="1"/>
  <c r="G15" i="1"/>
  <c r="F24" i="1"/>
  <c r="F23" i="1"/>
  <c r="F22" i="1"/>
  <c r="F20" i="1"/>
  <c r="F19" i="1"/>
  <c r="F18" i="1"/>
  <c r="L18" i="1" s="1"/>
  <c r="E14" i="1"/>
  <c r="E13" i="1"/>
  <c r="E12" i="1"/>
  <c r="E11" i="1"/>
  <c r="E10" i="1"/>
  <c r="E9" i="1"/>
  <c r="E8" i="1"/>
  <c r="E7" i="1"/>
  <c r="E6" i="1"/>
  <c r="E5" i="1"/>
  <c r="G11" i="1"/>
  <c r="G13" i="1"/>
  <c r="G12" i="1"/>
  <c r="H14" i="1"/>
  <c r="H13" i="1"/>
  <c r="H12" i="1"/>
  <c r="H11" i="1"/>
  <c r="H10" i="1"/>
  <c r="H8" i="1"/>
  <c r="H7" i="1"/>
  <c r="H9" i="1"/>
  <c r="G14" i="1"/>
  <c r="H6" i="1"/>
  <c r="G9" i="1"/>
  <c r="G10" i="1"/>
  <c r="G8" i="1"/>
  <c r="G7" i="1"/>
  <c r="G6" i="1"/>
  <c r="H5" i="1"/>
  <c r="G5" i="1"/>
  <c r="L29" i="1" l="1"/>
  <c r="L53" i="1"/>
  <c r="L8" i="1"/>
  <c r="L24" i="1"/>
  <c r="L19" i="1"/>
  <c r="L40" i="1"/>
  <c r="L48" i="1"/>
  <c r="L22" i="1"/>
  <c r="L10" i="1"/>
  <c r="L37" i="1"/>
  <c r="L46" i="1"/>
  <c r="L23" i="1"/>
  <c r="L15" i="1"/>
  <c r="L44" i="1"/>
  <c r="L33" i="1"/>
  <c r="L49" i="1"/>
  <c r="L26" i="1"/>
  <c r="L41" i="1"/>
  <c r="L45" i="1"/>
  <c r="L38" i="1"/>
  <c r="L50" i="1"/>
  <c r="L30" i="1"/>
  <c r="L36" i="1"/>
  <c r="L47" i="1"/>
  <c r="L32" i="1"/>
  <c r="L42" i="1"/>
  <c r="L25" i="1"/>
  <c r="L35" i="1"/>
  <c r="L12" i="1"/>
  <c r="L21" i="1"/>
  <c r="L13" i="1"/>
  <c r="L34" i="1"/>
  <c r="M47" i="1"/>
  <c r="L14" i="1"/>
  <c r="L27" i="1"/>
  <c r="L5" i="1"/>
  <c r="L20" i="1"/>
  <c r="L39" i="1"/>
  <c r="L31" i="1"/>
  <c r="L11" i="1"/>
  <c r="M54" i="1"/>
  <c r="L6" i="1"/>
  <c r="L16" i="1"/>
  <c r="L51" i="1"/>
  <c r="L7" i="1"/>
  <c r="L17" i="1"/>
  <c r="L28" i="1"/>
  <c r="L43" i="1"/>
  <c r="L9" i="1"/>
  <c r="L52" i="1"/>
  <c r="M43" i="1"/>
  <c r="M27" i="1"/>
  <c r="M35" i="1"/>
  <c r="M28" i="1"/>
  <c r="M40" i="1"/>
  <c r="M25" i="1"/>
  <c r="M52" i="1"/>
  <c r="M44" i="1"/>
  <c r="M33" i="1"/>
  <c r="K29" i="1"/>
  <c r="M29" i="1"/>
  <c r="M26" i="1"/>
  <c r="M45" i="1"/>
  <c r="M50" i="1"/>
  <c r="M30" i="1"/>
  <c r="M36" i="1"/>
  <c r="M48" i="1"/>
  <c r="M37" i="1"/>
  <c r="M49" i="1"/>
  <c r="K31" i="1"/>
  <c r="N31" i="1" s="1"/>
  <c r="M41" i="1"/>
  <c r="M34" i="1"/>
  <c r="M38" i="1"/>
  <c r="K53" i="1"/>
  <c r="M53" i="1"/>
  <c r="M32" i="1"/>
  <c r="M42" i="1"/>
  <c r="K39" i="1"/>
  <c r="M39" i="1"/>
  <c r="M31" i="1"/>
  <c r="M51" i="1"/>
  <c r="M46" i="1"/>
  <c r="K43" i="1"/>
  <c r="K35" i="1"/>
  <c r="K34" i="1"/>
  <c r="K27" i="1"/>
  <c r="K47" i="1"/>
  <c r="K51" i="1"/>
  <c r="K46" i="1"/>
  <c r="K28" i="1"/>
  <c r="K40" i="1"/>
  <c r="K48" i="1"/>
  <c r="N48" i="1" s="1"/>
  <c r="K52" i="1"/>
  <c r="K44" i="1"/>
  <c r="K33" i="1"/>
  <c r="N33" i="1" s="1"/>
  <c r="K26" i="1"/>
  <c r="K41" i="1"/>
  <c r="K45" i="1"/>
  <c r="K38" i="1"/>
  <c r="K50" i="1"/>
  <c r="K30" i="1"/>
  <c r="K36" i="1"/>
  <c r="K25" i="1"/>
  <c r="K37" i="1"/>
  <c r="K49" i="1"/>
  <c r="K32" i="1"/>
  <c r="K42" i="1"/>
  <c r="K54" i="1"/>
  <c r="K15" i="1"/>
  <c r="M18" i="1"/>
  <c r="M19" i="1"/>
  <c r="K21" i="1"/>
  <c r="M21" i="1"/>
  <c r="M20" i="1"/>
  <c r="M22" i="1"/>
  <c r="K16" i="1"/>
  <c r="M16" i="1"/>
  <c r="M23" i="1"/>
  <c r="K17" i="1"/>
  <c r="M17" i="1"/>
  <c r="M24" i="1"/>
  <c r="M15" i="1"/>
  <c r="K22" i="1"/>
  <c r="K23" i="1"/>
  <c r="K24" i="1"/>
  <c r="K18" i="1"/>
  <c r="K19" i="1"/>
  <c r="K20" i="1"/>
  <c r="M14" i="1"/>
  <c r="M8" i="1"/>
  <c r="M9" i="1"/>
  <c r="M13" i="1"/>
  <c r="M6" i="1"/>
  <c r="M7" i="1"/>
  <c r="M10" i="1"/>
  <c r="M12" i="1"/>
  <c r="M11" i="1"/>
  <c r="M5" i="1"/>
  <c r="K6" i="1"/>
  <c r="K7" i="1"/>
  <c r="K8" i="1"/>
  <c r="K9" i="1"/>
  <c r="K10" i="1"/>
  <c r="K11" i="1"/>
  <c r="K14" i="1"/>
  <c r="K12" i="1"/>
  <c r="K5" i="1"/>
  <c r="K13" i="1"/>
  <c r="N36" i="1" l="1"/>
  <c r="N37" i="1"/>
  <c r="N30" i="1"/>
  <c r="N38" i="1"/>
  <c r="N44" i="1"/>
  <c r="N42" i="1"/>
  <c r="N39" i="1"/>
  <c r="N51" i="1"/>
  <c r="N28" i="1"/>
  <c r="N46" i="1"/>
  <c r="N43" i="1"/>
  <c r="N25" i="1"/>
  <c r="N32" i="1"/>
  <c r="N49" i="1"/>
  <c r="N34" i="1"/>
  <c r="N27" i="1"/>
  <c r="N47" i="1"/>
  <c r="N50" i="1"/>
  <c r="N29" i="1"/>
  <c r="N40" i="1"/>
  <c r="N35" i="1"/>
  <c r="N45" i="1"/>
  <c r="N52" i="1"/>
  <c r="N41" i="1"/>
  <c r="N53" i="1"/>
  <c r="N54" i="1"/>
  <c r="N26" i="1"/>
  <c r="N15" i="1"/>
  <c r="N17" i="1"/>
  <c r="N18" i="1"/>
  <c r="N19" i="1"/>
  <c r="N16" i="1"/>
  <c r="N23" i="1"/>
  <c r="N22" i="1"/>
  <c r="N20" i="1"/>
  <c r="N21" i="1"/>
  <c r="N24" i="1"/>
  <c r="N11" i="1"/>
  <c r="N12" i="1"/>
  <c r="N14" i="1"/>
  <c r="N8" i="1"/>
  <c r="N7" i="1"/>
  <c r="N6" i="1"/>
  <c r="N10" i="1"/>
  <c r="N13" i="1"/>
  <c r="N9" i="1"/>
  <c r="N5" i="1"/>
</calcChain>
</file>

<file path=xl/sharedStrings.xml><?xml version="1.0" encoding="utf-8"?>
<sst xmlns="http://schemas.openxmlformats.org/spreadsheetml/2006/main" count="164" uniqueCount="74">
  <si>
    <t>project_id</t>
  </si>
  <si>
    <t>company_name</t>
  </si>
  <si>
    <t>sector</t>
  </si>
  <si>
    <t>initial_investment</t>
  </si>
  <si>
    <t>cashflow_y1</t>
  </si>
  <si>
    <t>cashflow_y2</t>
  </si>
  <si>
    <t>cashflow_y3</t>
  </si>
  <si>
    <t>discount_rate</t>
  </si>
  <si>
    <t>risk_score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</si>
  <si>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</si>
  <si>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</si>
  <si>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</si>
  <si>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</si>
  <si>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</si>
  <si>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</si>
  <si>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</si>
  <si>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</si>
  <si>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</si>
  <si>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</si>
  <si>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</si>
  <si>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</si>
  <si>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</si>
  <si>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</si>
  <si>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</si>
  <si>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Apple</t>
  </si>
  <si>
    <t>tech</t>
  </si>
  <si>
    <t>NPV</t>
  </si>
  <si>
    <t>IRR</t>
  </si>
  <si>
    <t>Payback Period</t>
  </si>
  <si>
    <t>negative II</t>
  </si>
  <si>
    <t>decision</t>
  </si>
  <si>
    <t>P16</t>
  </si>
  <si>
    <t>P17</t>
  </si>
  <si>
    <t>P18</t>
  </si>
  <si>
    <t>P19</t>
  </si>
  <si>
    <t>P20</t>
  </si>
  <si>
    <t>Reliance Industries</t>
  </si>
  <si>
    <t>energy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</si>
  <si>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</si>
  <si>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</si>
  <si>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</si>
  <si>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</si>
  <si>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</si>
  <si>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</si>
  <si>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</si>
  <si>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</si>
  <si>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</si>
  <si>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</si>
  <si>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</si>
  <si>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FMCG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</si>
  <si>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</si>
  <si>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</si>
  <si>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</si>
  <si>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</si>
  <si>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</si>
  <si>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</si>
  <si>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</si>
  <si>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</si>
  <si>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</si>
  <si>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HDFC</t>
  </si>
  <si>
    <t>finance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</si>
  <si>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</si>
  <si>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</si>
  <si>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</si>
  <si>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</si>
  <si>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</si>
  <si>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</si>
  <si>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</si>
  <si>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</si>
  <si>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</si>
  <si>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</si>
  <si>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Tata Motors</t>
  </si>
  <si>
    <t>Automobile</t>
  </si>
  <si>
    <t>Hindustan Unilever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</si>
</sst>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657b17cc784b9aa/Documents/y_finance_raw.xlsx" TargetMode="External"/><Relationship Id="rId1" Type="http://schemas.openxmlformats.org/officeDocument/2006/relationships/externalLinkPath" Target="https://d.docs.live.net/8657b17cc784b9aa/Documents/y_finance_ra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6">
          <cell r="A6" t="str">
            <v>company_name</v>
          </cell>
          <cell r="B6" t="str">
            <v>sector</v>
          </cell>
          <cell r="C6" t="str">
            <v>revenue</v>
          </cell>
          <cell r="D6" t="str">
            <v>operating_income</v>
          </cell>
          <cell r="E6" t="str">
            <v>net_income</v>
          </cell>
          <cell r="F6" t="str">
            <v>ebitda</v>
          </cell>
        </row>
        <row r="7">
          <cell r="A7" t="str">
            <v>Apple</v>
          </cell>
          <cell r="B7" t="str">
            <v>Technology</v>
          </cell>
          <cell r="C7">
            <v>416160000000</v>
          </cell>
          <cell r="D7">
            <v>114300000000</v>
          </cell>
          <cell r="E7">
            <v>112000000000</v>
          </cell>
          <cell r="F7">
            <v>144750000000</v>
          </cell>
        </row>
        <row r="8">
          <cell r="A8" t="str">
            <v>Reliance Industries</v>
          </cell>
          <cell r="B8" t="str">
            <v>Energy</v>
          </cell>
          <cell r="C8">
            <v>10000000000000</v>
          </cell>
          <cell r="D8">
            <v>1224000000000</v>
          </cell>
          <cell r="E8">
            <v>832000000000</v>
          </cell>
          <cell r="F8">
            <v>1710000000000</v>
          </cell>
        </row>
        <row r="9">
          <cell r="A9" t="str">
            <v>HDFC</v>
          </cell>
          <cell r="B9" t="str">
            <v>Finance</v>
          </cell>
          <cell r="C9">
            <v>2520000000000</v>
          </cell>
          <cell r="D9">
            <v>1560000000000</v>
          </cell>
          <cell r="E9">
            <v>172000000000</v>
          </cell>
          <cell r="F9">
            <v>1850000000000</v>
          </cell>
        </row>
        <row r="10">
          <cell r="A10" t="str">
            <v>Hindustan Unilever</v>
          </cell>
          <cell r="B10" t="str">
            <v>FMCG</v>
          </cell>
          <cell r="C10">
            <v>603000000000</v>
          </cell>
          <cell r="D10">
            <v>144000000000</v>
          </cell>
          <cell r="E10">
            <v>106000000000</v>
          </cell>
          <cell r="F10">
            <v>142000000000</v>
          </cell>
        </row>
        <row r="11">
          <cell r="A11" t="str">
            <v>Tata Motors</v>
          </cell>
          <cell r="B11" t="str">
            <v>Automobile</v>
          </cell>
          <cell r="C11">
            <v>4370000000000</v>
          </cell>
          <cell r="D11">
            <v>283000000000</v>
          </cell>
          <cell r="E11">
            <v>31500000000</v>
          </cell>
          <cell r="F11">
            <v>520000000000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F198F-275A-4439-B255-5C041D8DEFD4}">
  <dimension ref="A2:O56"/>
  <sheetViews>
    <sheetView tabSelected="1" zoomScale="70" zoomScaleNormal="70" workbookViewId="0">
      <selection activeCell="L44" sqref="L44"/>
    </sheetView>
  </sheetViews>
  <sheetFormatPr defaultRowHeight="14.4" x14ac:dyDescent="0.3"/>
  <cols>
    <col min="2" max="2" width="18.77734375" customWidth="1"/>
    <col min="3" max="3" width="12" customWidth="1"/>
    <col min="4" max="4" width="19.44140625" customWidth="1"/>
    <col min="5" max="5" width="16.109375" customWidth="1"/>
    <col min="6" max="6" width="16.5546875" customWidth="1"/>
    <col min="7" max="7" width="12.44140625" customWidth="1"/>
    <col min="8" max="8" width="14.109375" customWidth="1"/>
    <col min="9" max="9" width="11.88671875" customWidth="1"/>
    <col min="10" max="10" width="12.6640625" customWidth="1"/>
    <col min="11" max="14" width="16.109375" customWidth="1"/>
    <col min="15" max="15" width="8.88671875" style="3"/>
  </cols>
  <sheetData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x14ac:dyDescent="0.3">
      <c r="A4" t="s">
        <v>0</v>
      </c>
      <c r="B4" s="1" t="s">
        <v>1</v>
      </c>
      <c r="C4" s="1" t="s">
        <v>2</v>
      </c>
      <c r="D4" t="s">
        <v>3</v>
      </c>
      <c r="E4" t="s">
        <v>29</v>
      </c>
      <c r="F4" t="s">
        <v>4</v>
      </c>
      <c r="G4" t="s">
        <v>5</v>
      </c>
      <c r="H4" t="s">
        <v>6</v>
      </c>
      <c r="I4" t="s">
        <v>8</v>
      </c>
      <c r="J4" t="s">
        <v>7</v>
      </c>
      <c r="K4" t="s">
        <v>26</v>
      </c>
      <c r="L4" t="s">
        <v>27</v>
      </c>
      <c r="M4" t="s">
        <v>28</v>
      </c>
      <c r="N4" t="s">
        <v>30</v>
      </c>
    </row>
    <row r="5" spans="1:14" x14ac:dyDescent="0.3">
      <c r="A5" t="s">
        <v>9</v>
      </c>
      <c r="B5" t="s">
        <v>24</v>
      </c>
      <c r="C5" t="s">
        <v>25</v>
      </c>
      <c r="D5">
        <f ca="1">VLOOKUP(B5,[1]Sheet1!$A:$F,3,FALSE)*(RANDBETWEEN(5,15)/100)</f>
        <v>54100800000</v>
      </c>
      <c r="E5">
        <f ca="1">-D5</f>
        <v>-54100800000</v>
      </c>
      <c r="F5">
        <f ca="1">IFERROR(D5*(RANDBETWEEN(20,35)/100),"")</f>
        <v>16771248000</v>
      </c>
      <c r="G5">
        <f ca="1">IFERROR(D5*(RANDBETWEEN(25,40)/100),"")</f>
        <v>20017296000</v>
      </c>
      <c r="H5">
        <f ca="1">IFERROR(D5*(RANDBETWEEN(30,45)/100),"")</f>
        <v>16230240000</v>
      </c>
      <c r="I5">
        <f ca="1">IFERROR(
IF(B5="Apple",RANDBETWEEN(2,4),
IF(B5="Hindustan Unilever",RANDBETWEEN(2,4),
IF(B5="HDFC",RANDBETWEEN(4,6),
IF(B5="Reliance Industries",RANDBETWEEN(5,7),
IF(B5="Tata Motors",RANDBETWEEN(6,8),""))))),
"")</f>
        <v>2</v>
      </c>
      <c r="J5">
        <f ca="1">IFERROR(
IF(I5&lt;=3,0.08,
IF(I5&lt;=6,0.1,
IF(I5&lt;=8,0.12,
0.15))),
"")</f>
        <v>0.08</v>
      </c>
      <c r="K5">
        <f ca="1">F5/(1+J5)^1 + G5/(1+J5)^2 + H5/(1+J5)^3 - D5</f>
        <v>-8526173936.8998718</v>
      </c>
      <c r="L5" s="4">
        <f ca="1">IFERROR(IRR(E5:H5), -1)</f>
        <v>-1.0085877647220798E-2</v>
      </c>
      <c r="M5" t="str">
        <f ca="1">IF(F5&gt;=D5,1,
IF(F5+G5&gt;=D5,1+(D5-F5)/G5,
IF(F5+G5+H5&gt;=D5,2+(D5-F5-G5)/H5,
"&gt;3")))</f>
        <v>&gt;3</v>
      </c>
      <c r="N5" t="str">
        <f ca="1">IF(AND(K5&gt;0,L5&gt;J5),"Accept","Reject")</f>
        <v>Reject</v>
      </c>
    </row>
    <row r="6" spans="1:14" x14ac:dyDescent="0.3">
      <c r="A6" t="s">
        <v>10</v>
      </c>
      <c r="B6" t="s">
        <v>24</v>
      </c>
      <c r="C6" t="s">
        <v>25</v>
      </c>
      <c r="D6">
        <f ca="1">VLOOKUP(B6,[1]Sheet1!$A:$F,3,FALSE)*(RANDBETWEEN(5,15)/100)</f>
        <v>49939200000</v>
      </c>
      <c r="E6">
        <f ca="1">-D6</f>
        <v>-49939200000</v>
      </c>
      <c r="F6">
        <f t="shared" ref="F6:F54" ca="1" si="0">IFERROR(D6*(RANDBETWEEN(20,35)/100),"")</f>
        <v>12484800000</v>
      </c>
      <c r="G6">
        <f t="shared" ref="G6:G54" ca="1" si="1">IFERROR(D6*(RANDBETWEEN(25,40)/100),"")</f>
        <v>16479936000</v>
      </c>
      <c r="H6">
        <f t="shared" ref="H6:H54" ca="1" si="2">IFERROR(D6*(RANDBETWEEN(30,45)/100),"")</f>
        <v>14981760000</v>
      </c>
      <c r="I6">
        <f t="shared" ref="I6:I54" ca="1" si="3">IFERROR(
IF(B6="Apple",RANDBETWEEN(2,4),
IF(B6="Hindustan Unilever",RANDBETWEEN(2,4),
IF(B6="HDFC",RANDBETWEEN(4,6),
IF(B6="Reliance Industries",RANDBETWEEN(5,7),
IF(B6="Tata Motors",RANDBETWEEN(6,8),""))))),
"")</f>
        <v>3</v>
      </c>
      <c r="J6">
        <f t="shared" ref="J6:J54" ca="1" si="4">IFERROR(
IF(I6&lt;=3,0.08,
IF(I6&lt;=6,0.1,
IF(I6&lt;=8,0.12,
0.15))),
"")</f>
        <v>0.08</v>
      </c>
      <c r="K6">
        <f t="shared" ref="K6:K54" ca="1" si="5">F6/(1+J6)^1 + G6/(1+J6)^2 + H6/(1+J6)^3 - D6</f>
        <v>-12357306995.884781</v>
      </c>
      <c r="L6" s="4">
        <f t="shared" ref="L6:L56" ca="1" si="6">IFERROR(IRR(E6:H6), -1)</f>
        <v>-5.9721309503682041E-2</v>
      </c>
      <c r="M6" t="str">
        <f t="shared" ref="M6:M54" ca="1" si="7">IF(F6&gt;=D6,1,
IF(F6+G6&gt;=D6,1+(D6-F6)/G6,
IF(F6+G6+H6&gt;=D6,2+(D6-F6-G6)/H6,
"&gt;3")))</f>
        <v>&gt;3</v>
      </c>
      <c r="N6" t="str">
        <f t="shared" ref="N6:N54" ca="1" si="8">IF(AND(K6&gt;0,L6&gt;J6),"Accept","Reject")</f>
        <v>Reject</v>
      </c>
    </row>
    <row r="7" spans="1:14" x14ac:dyDescent="0.3">
      <c r="A7" t="s">
        <v>11</v>
      </c>
      <c r="B7" t="s">
        <v>24</v>
      </c>
      <c r="C7" t="s">
        <v>25</v>
      </c>
      <c r="D7">
        <f ca="1">VLOOKUP(B7,[1]Sheet1!$A:$F,3,FALSE)*(RANDBETWEEN(5,15)/100)</f>
        <v>24969600000</v>
      </c>
      <c r="E7">
        <f ca="1">-D7</f>
        <v>-24969600000</v>
      </c>
      <c r="F7">
        <f t="shared" ca="1" si="0"/>
        <v>8739360000</v>
      </c>
      <c r="G7">
        <f t="shared" ca="1" si="1"/>
        <v>9488448000</v>
      </c>
      <c r="H7">
        <f t="shared" ca="1" si="2"/>
        <v>7740576000</v>
      </c>
      <c r="I7">
        <f t="shared" ca="1" si="3"/>
        <v>4</v>
      </c>
      <c r="J7">
        <f t="shared" ca="1" si="4"/>
        <v>0.1</v>
      </c>
      <c r="K7">
        <f t="shared" ca="1" si="5"/>
        <v>-3367425394.4402733</v>
      </c>
      <c r="L7" s="4">
        <f t="shared" ca="1" si="6"/>
        <v>2.0262338928128676E-2</v>
      </c>
      <c r="M7">
        <f t="shared" ca="1" si="7"/>
        <v>2.870967741935484</v>
      </c>
      <c r="N7" t="str">
        <f t="shared" ca="1" si="8"/>
        <v>Reject</v>
      </c>
    </row>
    <row r="8" spans="1:14" x14ac:dyDescent="0.3">
      <c r="A8" t="s">
        <v>12</v>
      </c>
      <c r="B8" t="s">
        <v>24</v>
      </c>
      <c r="C8" t="s">
        <v>25</v>
      </c>
      <c r="D8">
        <f ca="1">VLOOKUP(B8,[1]Sheet1!$A:$F,3,FALSE)*(RANDBETWEEN(5,15)/100)</f>
        <v>33292800000</v>
      </c>
      <c r="E8">
        <f ca="1">-D8</f>
        <v>-33292800000</v>
      </c>
      <c r="F8">
        <f t="shared" ca="1" si="0"/>
        <v>9654912000</v>
      </c>
      <c r="G8">
        <f t="shared" ca="1" si="1"/>
        <v>8323200000</v>
      </c>
      <c r="H8">
        <f t="shared" ca="1" si="2"/>
        <v>12318336000</v>
      </c>
      <c r="I8">
        <f t="shared" ca="1" si="3"/>
        <v>4</v>
      </c>
      <c r="J8">
        <f t="shared" ca="1" si="4"/>
        <v>0.1</v>
      </c>
      <c r="K8">
        <f t="shared" ca="1" si="5"/>
        <v>-8381981427.4981308</v>
      </c>
      <c r="L8" s="4">
        <f t="shared" ca="1" si="6"/>
        <v>-4.3835570283488945E-2</v>
      </c>
      <c r="M8" t="str">
        <f t="shared" ca="1" si="7"/>
        <v>&gt;3</v>
      </c>
      <c r="N8" t="str">
        <f t="shared" ca="1" si="8"/>
        <v>Reject</v>
      </c>
    </row>
    <row r="9" spans="1:14" x14ac:dyDescent="0.3">
      <c r="A9" t="s">
        <v>13</v>
      </c>
      <c r="B9" t="s">
        <v>24</v>
      </c>
      <c r="C9" t="s">
        <v>25</v>
      </c>
      <c r="D9">
        <f ca="1">VLOOKUP(B9,[1]Sheet1!$A:$F,3,FALSE)*(RANDBETWEEN(5,15)/100)</f>
        <v>24969600000</v>
      </c>
      <c r="E9">
        <f ca="1">-D9</f>
        <v>-24969600000</v>
      </c>
      <c r="F9">
        <f t="shared" ca="1" si="0"/>
        <v>6991488000.000001</v>
      </c>
      <c r="G9">
        <f t="shared" ca="1" si="1"/>
        <v>8489664000.000001</v>
      </c>
      <c r="H9">
        <f t="shared" ca="1" si="2"/>
        <v>8739360000</v>
      </c>
      <c r="I9">
        <f t="shared" ca="1" si="3"/>
        <v>2</v>
      </c>
      <c r="J9">
        <f t="shared" ca="1" si="4"/>
        <v>0.08</v>
      </c>
      <c r="K9">
        <f t="shared" ca="1" si="5"/>
        <v>-4279895747.599453</v>
      </c>
      <c r="L9" s="4">
        <f t="shared" ca="1" si="6"/>
        <v>-1.4558781045423075E-2</v>
      </c>
      <c r="M9" t="str">
        <f t="shared" ca="1" si="7"/>
        <v>&gt;3</v>
      </c>
      <c r="N9" t="str">
        <f t="shared" ca="1" si="8"/>
        <v>Reject</v>
      </c>
    </row>
    <row r="10" spans="1:14" x14ac:dyDescent="0.3">
      <c r="A10" t="s">
        <v>14</v>
      </c>
      <c r="B10" t="s">
        <v>24</v>
      </c>
      <c r="C10" t="s">
        <v>25</v>
      </c>
      <c r="D10">
        <f ca="1">VLOOKUP(B10,[1]Sheet1!$A:$F,3,FALSE)*(RANDBETWEEN(5,15)/100)</f>
        <v>29131200000.000004</v>
      </c>
      <c r="E10">
        <f ca="1">-D10</f>
        <v>-29131200000.000004</v>
      </c>
      <c r="F10">
        <f t="shared" ca="1" si="0"/>
        <v>7282800000.000001</v>
      </c>
      <c r="G10">
        <f t="shared" ca="1" si="1"/>
        <v>11652480000.000002</v>
      </c>
      <c r="H10">
        <f t="shared" ca="1" si="2"/>
        <v>8739360000</v>
      </c>
      <c r="I10">
        <f t="shared" ca="1" si="3"/>
        <v>2</v>
      </c>
      <c r="J10">
        <f t="shared" ca="1" si="4"/>
        <v>0.08</v>
      </c>
      <c r="K10">
        <f t="shared" ca="1" si="5"/>
        <v>-5460157475.9945145</v>
      </c>
      <c r="L10" s="4">
        <f t="shared" ca="1" si="6"/>
        <v>-2.4594560502103957E-2</v>
      </c>
      <c r="M10" t="str">
        <f t="shared" ca="1" si="7"/>
        <v>&gt;3</v>
      </c>
      <c r="N10" t="str">
        <f t="shared" ca="1" si="8"/>
        <v>Reject</v>
      </c>
    </row>
    <row r="11" spans="1:14" x14ac:dyDescent="0.3">
      <c r="A11" t="s">
        <v>15</v>
      </c>
      <c r="B11" t="s">
        <v>24</v>
      </c>
      <c r="C11" t="s">
        <v>25</v>
      </c>
      <c r="D11">
        <f ca="1">VLOOKUP(B11,[1]Sheet1!$A:$F,3,FALSE)*(RANDBETWEEN(5,15)/100)</f>
        <v>24969600000</v>
      </c>
      <c r="E11">
        <f ca="1">-D11</f>
        <v>-24969600000</v>
      </c>
      <c r="F11">
        <f t="shared" ca="1" si="0"/>
        <v>5243616000</v>
      </c>
      <c r="G11">
        <f t="shared" ca="1" si="1"/>
        <v>9238752000</v>
      </c>
      <c r="H11">
        <f t="shared" ca="1" si="2"/>
        <v>10736928000</v>
      </c>
      <c r="I11">
        <f t="shared" ca="1" si="3"/>
        <v>4</v>
      </c>
      <c r="J11">
        <f t="shared" ca="1" si="4"/>
        <v>0.1</v>
      </c>
      <c r="K11">
        <f t="shared" ca="1" si="5"/>
        <v>-4500531209.6168327</v>
      </c>
      <c r="L11" s="4">
        <f t="shared" ca="1" si="6"/>
        <v>4.4992892594821754E-3</v>
      </c>
      <c r="M11">
        <f t="shared" ca="1" si="7"/>
        <v>2.9767441860465116</v>
      </c>
      <c r="N11" t="str">
        <f t="shared" ca="1" si="8"/>
        <v>Reject</v>
      </c>
    </row>
    <row r="12" spans="1:14" x14ac:dyDescent="0.3">
      <c r="A12" t="s">
        <v>16</v>
      </c>
      <c r="B12" t="s">
        <v>24</v>
      </c>
      <c r="C12" t="s">
        <v>25</v>
      </c>
      <c r="D12">
        <f ca="1">VLOOKUP(B12,[1]Sheet1!$A:$F,3,FALSE)*(RANDBETWEEN(5,15)/100)</f>
        <v>41616000000</v>
      </c>
      <c r="E12">
        <f ca="1">-D12</f>
        <v>-41616000000</v>
      </c>
      <c r="F12">
        <f t="shared" ca="1" si="0"/>
        <v>12900960000</v>
      </c>
      <c r="G12">
        <f t="shared" ca="1" si="1"/>
        <v>13317120000</v>
      </c>
      <c r="H12">
        <f t="shared" ca="1" si="2"/>
        <v>14565600000</v>
      </c>
      <c r="I12">
        <f t="shared" ca="1" si="3"/>
        <v>4</v>
      </c>
      <c r="J12">
        <f t="shared" ca="1" si="4"/>
        <v>0.1</v>
      </c>
      <c r="K12">
        <f t="shared" ca="1" si="5"/>
        <v>-7938619383.9218674</v>
      </c>
      <c r="L12" s="4">
        <f t="shared" ca="1" si="6"/>
        <v>-9.8345740331042819E-3</v>
      </c>
      <c r="M12" t="str">
        <f t="shared" ca="1" si="7"/>
        <v>&gt;3</v>
      </c>
      <c r="N12" t="str">
        <f t="shared" ca="1" si="8"/>
        <v>Reject</v>
      </c>
    </row>
    <row r="13" spans="1:14" x14ac:dyDescent="0.3">
      <c r="A13" t="s">
        <v>17</v>
      </c>
      <c r="B13" t="s">
        <v>24</v>
      </c>
      <c r="C13" t="s">
        <v>25</v>
      </c>
      <c r="D13">
        <f ca="1">VLOOKUP(B13,[1]Sheet1!$A:$F,3,FALSE)*(RANDBETWEEN(5,15)/100)</f>
        <v>58262400000.000008</v>
      </c>
      <c r="E13">
        <f ca="1">-D13</f>
        <v>-58262400000.000008</v>
      </c>
      <c r="F13">
        <f t="shared" ca="1" si="0"/>
        <v>19809216000.000004</v>
      </c>
      <c r="G13">
        <f t="shared" ca="1" si="1"/>
        <v>14565600000.000002</v>
      </c>
      <c r="H13">
        <f t="shared" ca="1" si="2"/>
        <v>25052832000.000004</v>
      </c>
      <c r="I13">
        <f t="shared" ca="1" si="3"/>
        <v>3</v>
      </c>
      <c r="J13">
        <f t="shared" ca="1" si="4"/>
        <v>0.08</v>
      </c>
      <c r="K13">
        <f t="shared" ca="1" si="5"/>
        <v>-7545133241.8838654</v>
      </c>
      <c r="L13" s="4">
        <f t="shared" ca="1" si="6"/>
        <v>9.544356779700669E-3</v>
      </c>
      <c r="M13">
        <f t="shared" ca="1" si="7"/>
        <v>2.9534883720930232</v>
      </c>
      <c r="N13" t="str">
        <f t="shared" ca="1" si="8"/>
        <v>Reject</v>
      </c>
    </row>
    <row r="14" spans="1:14" x14ac:dyDescent="0.3">
      <c r="A14" t="s">
        <v>18</v>
      </c>
      <c r="B14" t="s">
        <v>24</v>
      </c>
      <c r="C14" t="s">
        <v>25</v>
      </c>
      <c r="D14">
        <f ca="1">VLOOKUP(B14,[1]Sheet1!$A:$F,3,FALSE)*(RANDBETWEEN(5,15)/100)</f>
        <v>37454400000</v>
      </c>
      <c r="E14">
        <f ca="1">-D14</f>
        <v>-37454400000</v>
      </c>
      <c r="F14">
        <f t="shared" ca="1" si="0"/>
        <v>9363600000</v>
      </c>
      <c r="G14">
        <f t="shared" ca="1" si="1"/>
        <v>11236320000</v>
      </c>
      <c r="H14">
        <f t="shared" ca="1" si="2"/>
        <v>11985408000</v>
      </c>
      <c r="I14">
        <f t="shared" ca="1" si="3"/>
        <v>4</v>
      </c>
      <c r="J14">
        <f t="shared" ca="1" si="4"/>
        <v>0.1</v>
      </c>
      <c r="K14">
        <f t="shared" ca="1" si="5"/>
        <v>-10651007062.359135</v>
      </c>
      <c r="L14" s="4">
        <f t="shared" ca="1" si="6"/>
        <v>-6.4108524123968946E-2</v>
      </c>
      <c r="M14" t="str">
        <f t="shared" ca="1" si="7"/>
        <v>&gt;3</v>
      </c>
      <c r="N14" t="str">
        <f t="shared" ca="1" si="8"/>
        <v>Reject</v>
      </c>
    </row>
    <row r="15" spans="1:14" x14ac:dyDescent="0.3">
      <c r="A15" t="s">
        <v>19</v>
      </c>
      <c r="B15" t="s">
        <v>36</v>
      </c>
      <c r="C15" t="s">
        <v>37</v>
      </c>
      <c r="D15">
        <f ca="1">VLOOKUP(B15,[1]Sheet1!$A:$F,3,FALSE)*(RANDBETWEEN(5,15)/100)</f>
        <v>700000000000.00012</v>
      </c>
      <c r="E15">
        <f t="shared" ref="E15:E54" ca="1" si="9">-D15</f>
        <v>-700000000000.00012</v>
      </c>
      <c r="F15">
        <f t="shared" ca="1" si="0"/>
        <v>182000000000.00003</v>
      </c>
      <c r="G15">
        <f t="shared" ca="1" si="1"/>
        <v>189000000000.00003</v>
      </c>
      <c r="H15">
        <f t="shared" ca="1" si="2"/>
        <v>301000000000.00006</v>
      </c>
      <c r="I15">
        <f t="shared" ca="1" si="3"/>
        <v>6</v>
      </c>
      <c r="J15">
        <f t="shared" ca="1" si="4"/>
        <v>0.1</v>
      </c>
      <c r="K15">
        <f t="shared" ca="1" si="5"/>
        <v>-152201352366.64172</v>
      </c>
      <c r="L15" s="4">
        <f t="shared" ca="1" si="6"/>
        <v>-1</v>
      </c>
      <c r="M15" t="str">
        <f t="shared" ca="1" si="7"/>
        <v>&gt;3</v>
      </c>
      <c r="N15" t="str">
        <f t="shared" ca="1" si="8"/>
        <v>Reject</v>
      </c>
    </row>
    <row r="16" spans="1:14" x14ac:dyDescent="0.3">
      <c r="A16" t="s">
        <v>20</v>
      </c>
      <c r="B16" t="s">
        <v>36</v>
      </c>
      <c r="C16" t="s">
        <v>37</v>
      </c>
      <c r="D16">
        <f ca="1">VLOOKUP(B16,[1]Sheet1!$A:$F,3,FALSE)*(RANDBETWEEN(5,15)/100)</f>
        <v>1500000000000</v>
      </c>
      <c r="E16">
        <f t="shared" ca="1" si="9"/>
        <v>-1500000000000</v>
      </c>
      <c r="F16">
        <f t="shared" ca="1" si="0"/>
        <v>435000000000</v>
      </c>
      <c r="G16">
        <f t="shared" ca="1" si="1"/>
        <v>570000000000</v>
      </c>
      <c r="H16">
        <f t="shared" ca="1" si="2"/>
        <v>585000000000</v>
      </c>
      <c r="I16">
        <f t="shared" ca="1" si="3"/>
        <v>6</v>
      </c>
      <c r="J16">
        <f t="shared" ca="1" si="4"/>
        <v>0.1</v>
      </c>
      <c r="K16">
        <f t="shared" ca="1" si="5"/>
        <v>-193951915852.74268</v>
      </c>
      <c r="L16" s="4">
        <f t="shared" ca="1" si="6"/>
        <v>-1</v>
      </c>
      <c r="M16">
        <f t="shared" ca="1" si="7"/>
        <v>2.8461538461538463</v>
      </c>
      <c r="N16" t="str">
        <f t="shared" ca="1" si="8"/>
        <v>Reject</v>
      </c>
    </row>
    <row r="17" spans="1:14" x14ac:dyDescent="0.3">
      <c r="A17" t="s">
        <v>21</v>
      </c>
      <c r="B17" t="s">
        <v>36</v>
      </c>
      <c r="C17" t="s">
        <v>37</v>
      </c>
      <c r="D17">
        <f ca="1">VLOOKUP(B17,[1]Sheet1!$A:$F,3,FALSE)*(RANDBETWEEN(5,15)/100)</f>
        <v>500000000000</v>
      </c>
      <c r="E17">
        <f t="shared" ca="1" si="9"/>
        <v>-500000000000</v>
      </c>
      <c r="F17">
        <f t="shared" ca="1" si="0"/>
        <v>160000000000</v>
      </c>
      <c r="G17">
        <f t="shared" ca="1" si="1"/>
        <v>160000000000</v>
      </c>
      <c r="H17">
        <f t="shared" ca="1" si="2"/>
        <v>170000000000</v>
      </c>
      <c r="I17">
        <f t="shared" ca="1" si="3"/>
        <v>5</v>
      </c>
      <c r="J17">
        <f t="shared" ca="1" si="4"/>
        <v>0.1</v>
      </c>
      <c r="K17">
        <f t="shared" ca="1" si="5"/>
        <v>-94590533433.508728</v>
      </c>
      <c r="L17" s="4">
        <f t="shared" ca="1" si="6"/>
        <v>-9.9330607915502078E-3</v>
      </c>
      <c r="M17" t="str">
        <f t="shared" ca="1" si="7"/>
        <v>&gt;3</v>
      </c>
      <c r="N17" t="str">
        <f t="shared" ca="1" si="8"/>
        <v>Reject</v>
      </c>
    </row>
    <row r="18" spans="1:14" x14ac:dyDescent="0.3">
      <c r="A18" t="s">
        <v>22</v>
      </c>
      <c r="B18" t="s">
        <v>36</v>
      </c>
      <c r="C18" t="s">
        <v>37</v>
      </c>
      <c r="D18">
        <f ca="1">VLOOKUP(B18,[1]Sheet1!$A:$F,3,FALSE)*(RANDBETWEEN(5,15)/100)</f>
        <v>1100000000000</v>
      </c>
      <c r="E18">
        <f t="shared" ca="1" si="9"/>
        <v>-1100000000000</v>
      </c>
      <c r="F18">
        <f t="shared" ca="1" si="0"/>
        <v>363000000000</v>
      </c>
      <c r="G18">
        <f t="shared" ca="1" si="1"/>
        <v>275000000000</v>
      </c>
      <c r="H18">
        <f t="shared" ca="1" si="2"/>
        <v>396000000000</v>
      </c>
      <c r="I18">
        <f t="shared" ca="1" si="3"/>
        <v>6</v>
      </c>
      <c r="J18">
        <f t="shared" ca="1" si="4"/>
        <v>0.1</v>
      </c>
      <c r="K18">
        <f t="shared" ca="1" si="5"/>
        <v>-245206611570.24805</v>
      </c>
      <c r="L18" s="4">
        <f t="shared" ca="1" si="6"/>
        <v>-1</v>
      </c>
      <c r="M18" t="str">
        <f t="shared" ca="1" si="7"/>
        <v>&gt;3</v>
      </c>
      <c r="N18" t="str">
        <f t="shared" ca="1" si="8"/>
        <v>Reject</v>
      </c>
    </row>
    <row r="19" spans="1:14" x14ac:dyDescent="0.3">
      <c r="A19" t="s">
        <v>23</v>
      </c>
      <c r="B19" t="s">
        <v>36</v>
      </c>
      <c r="C19" t="s">
        <v>37</v>
      </c>
      <c r="D19">
        <f ca="1">VLOOKUP(B19,[1]Sheet1!$A:$F,3,FALSE)*(RANDBETWEEN(5,15)/100)</f>
        <v>600000000000</v>
      </c>
      <c r="E19">
        <f t="shared" ca="1" si="9"/>
        <v>-600000000000</v>
      </c>
      <c r="F19">
        <f t="shared" ca="1" si="0"/>
        <v>198000000000</v>
      </c>
      <c r="G19">
        <f t="shared" ca="1" si="1"/>
        <v>162000000000</v>
      </c>
      <c r="H19">
        <f t="shared" ca="1" si="2"/>
        <v>210000000000</v>
      </c>
      <c r="I19">
        <f t="shared" ca="1" si="3"/>
        <v>6</v>
      </c>
      <c r="J19">
        <f t="shared" ca="1" si="4"/>
        <v>0.1</v>
      </c>
      <c r="K19">
        <f t="shared" ca="1" si="5"/>
        <v>-128339594290.00757</v>
      </c>
      <c r="L19" s="4">
        <f t="shared" ca="1" si="6"/>
        <v>-2.4950025913923701E-2</v>
      </c>
      <c r="M19" t="str">
        <f t="shared" ca="1" si="7"/>
        <v>&gt;3</v>
      </c>
      <c r="N19" t="str">
        <f t="shared" ca="1" si="8"/>
        <v>Reject</v>
      </c>
    </row>
    <row r="20" spans="1:14" x14ac:dyDescent="0.3">
      <c r="A20" t="s">
        <v>31</v>
      </c>
      <c r="B20" t="s">
        <v>36</v>
      </c>
      <c r="C20" t="s">
        <v>37</v>
      </c>
      <c r="D20">
        <f ca="1">VLOOKUP(B20,[1]Sheet1!$A:$F,3,FALSE)*(RANDBETWEEN(5,15)/100)</f>
        <v>700000000000.00012</v>
      </c>
      <c r="E20">
        <f t="shared" ca="1" si="9"/>
        <v>-700000000000.00012</v>
      </c>
      <c r="F20">
        <f t="shared" ca="1" si="0"/>
        <v>238000000000.00006</v>
      </c>
      <c r="G20">
        <f t="shared" ca="1" si="1"/>
        <v>273000000000.00006</v>
      </c>
      <c r="H20">
        <f t="shared" ca="1" si="2"/>
        <v>217000000000.00003</v>
      </c>
      <c r="I20">
        <f t="shared" ca="1" si="3"/>
        <v>7</v>
      </c>
      <c r="J20">
        <f t="shared" ca="1" si="4"/>
        <v>0.12</v>
      </c>
      <c r="K20">
        <f t="shared" ca="1" si="5"/>
        <v>-115409757653.0614</v>
      </c>
      <c r="L20" s="4">
        <f t="shared" ca="1" si="6"/>
        <v>-1</v>
      </c>
      <c r="M20">
        <f t="shared" ca="1" si="7"/>
        <v>2.870967741935484</v>
      </c>
      <c r="N20" t="str">
        <f t="shared" ca="1" si="8"/>
        <v>Reject</v>
      </c>
    </row>
    <row r="21" spans="1:14" x14ac:dyDescent="0.3">
      <c r="A21" t="s">
        <v>32</v>
      </c>
      <c r="B21" t="s">
        <v>36</v>
      </c>
      <c r="C21" t="s">
        <v>37</v>
      </c>
      <c r="D21">
        <f ca="1">VLOOKUP(B21,[1]Sheet1!$A:$F,3,FALSE)*(RANDBETWEEN(5,15)/100)</f>
        <v>1500000000000</v>
      </c>
      <c r="E21">
        <f t="shared" ca="1" si="9"/>
        <v>-1500000000000</v>
      </c>
      <c r="F21">
        <f t="shared" ca="1" si="0"/>
        <v>524999999999.99994</v>
      </c>
      <c r="G21">
        <f t="shared" ca="1" si="1"/>
        <v>390000000000</v>
      </c>
      <c r="H21">
        <f t="shared" ca="1" si="2"/>
        <v>600000000000</v>
      </c>
      <c r="I21">
        <f t="shared" ca="1" si="3"/>
        <v>5</v>
      </c>
      <c r="J21">
        <f t="shared" ca="1" si="4"/>
        <v>0.1</v>
      </c>
      <c r="K21">
        <f t="shared" ca="1" si="5"/>
        <v>-249624342599.54956</v>
      </c>
      <c r="L21" s="4">
        <f t="shared" ca="1" si="6"/>
        <v>4.8710817221970792E-3</v>
      </c>
      <c r="M21">
        <f t="shared" ca="1" si="7"/>
        <v>2.9750000000000001</v>
      </c>
      <c r="N21" t="str">
        <f t="shared" ca="1" si="8"/>
        <v>Reject</v>
      </c>
    </row>
    <row r="22" spans="1:14" x14ac:dyDescent="0.3">
      <c r="A22" t="s">
        <v>33</v>
      </c>
      <c r="B22" t="s">
        <v>36</v>
      </c>
      <c r="C22" t="s">
        <v>37</v>
      </c>
      <c r="D22">
        <f ca="1">VLOOKUP(B22,[1]Sheet1!$A:$F,3,FALSE)*(RANDBETWEEN(5,15)/100)</f>
        <v>600000000000</v>
      </c>
      <c r="E22">
        <f t="shared" ca="1" si="9"/>
        <v>-600000000000</v>
      </c>
      <c r="F22">
        <f t="shared" ca="1" si="0"/>
        <v>180000000000</v>
      </c>
      <c r="G22">
        <f t="shared" ca="1" si="1"/>
        <v>156000000000</v>
      </c>
      <c r="H22">
        <f t="shared" ca="1" si="2"/>
        <v>240000000000</v>
      </c>
      <c r="I22">
        <f t="shared" ca="1" si="3"/>
        <v>6</v>
      </c>
      <c r="J22">
        <f t="shared" ca="1" si="4"/>
        <v>0.1</v>
      </c>
      <c r="K22">
        <f t="shared" ca="1" si="5"/>
        <v>-127122464312.54706</v>
      </c>
      <c r="L22" s="4">
        <f t="shared" ca="1" si="6"/>
        <v>-1.9151044328053923E-2</v>
      </c>
      <c r="M22" t="str">
        <f t="shared" ca="1" si="7"/>
        <v>&gt;3</v>
      </c>
      <c r="N22" t="str">
        <f t="shared" ca="1" si="8"/>
        <v>Reject</v>
      </c>
    </row>
    <row r="23" spans="1:14" x14ac:dyDescent="0.3">
      <c r="A23" t="s">
        <v>34</v>
      </c>
      <c r="B23" t="s">
        <v>36</v>
      </c>
      <c r="C23" t="s">
        <v>37</v>
      </c>
      <c r="D23">
        <f ca="1">VLOOKUP(B23,[1]Sheet1!$A:$F,3,FALSE)*(RANDBETWEEN(5,15)/100)</f>
        <v>1400000000000.0002</v>
      </c>
      <c r="E23">
        <f t="shared" ca="1" si="9"/>
        <v>-1400000000000.0002</v>
      </c>
      <c r="F23">
        <f t="shared" ca="1" si="0"/>
        <v>308000000000.00006</v>
      </c>
      <c r="G23">
        <f t="shared" ca="1" si="1"/>
        <v>378000000000.00006</v>
      </c>
      <c r="H23">
        <f t="shared" ca="1" si="2"/>
        <v>476000000000.00012</v>
      </c>
      <c r="I23">
        <f t="shared" ca="1" si="3"/>
        <v>6</v>
      </c>
      <c r="J23">
        <f t="shared" ca="1" si="4"/>
        <v>0.1</v>
      </c>
      <c r="K23">
        <f t="shared" ca="1" si="5"/>
        <v>-449977460555.97314</v>
      </c>
      <c r="L23" s="4">
        <f t="shared" ca="1" si="6"/>
        <v>-1</v>
      </c>
      <c r="M23" t="str">
        <f t="shared" ca="1" si="7"/>
        <v>&gt;3</v>
      </c>
      <c r="N23" t="str">
        <f t="shared" ca="1" si="8"/>
        <v>Reject</v>
      </c>
    </row>
    <row r="24" spans="1:14" x14ac:dyDescent="0.3">
      <c r="A24" t="s">
        <v>35</v>
      </c>
      <c r="B24" t="s">
        <v>36</v>
      </c>
      <c r="C24" t="s">
        <v>37</v>
      </c>
      <c r="D24">
        <f ca="1">VLOOKUP(B24,[1]Sheet1!$A:$F,3,FALSE)*(RANDBETWEEN(5,15)/100)</f>
        <v>1000000000000</v>
      </c>
      <c r="E24">
        <f t="shared" ca="1" si="9"/>
        <v>-1000000000000</v>
      </c>
      <c r="F24">
        <f t="shared" ca="1" si="0"/>
        <v>270000000000.00003</v>
      </c>
      <c r="G24">
        <f t="shared" ca="1" si="1"/>
        <v>280000000000</v>
      </c>
      <c r="H24">
        <f t="shared" ca="1" si="2"/>
        <v>420000000000</v>
      </c>
      <c r="I24">
        <f t="shared" ca="1" si="3"/>
        <v>5</v>
      </c>
      <c r="J24">
        <f t="shared" ca="1" si="4"/>
        <v>0.1</v>
      </c>
      <c r="K24">
        <f t="shared" ca="1" si="5"/>
        <v>-207588279489.10608</v>
      </c>
      <c r="L24" s="4">
        <f t="shared" ca="1" si="6"/>
        <v>-1</v>
      </c>
      <c r="M24" t="str">
        <f t="shared" ca="1" si="7"/>
        <v>&gt;3</v>
      </c>
      <c r="N24" t="str">
        <f t="shared" ca="1" si="8"/>
        <v>Reject</v>
      </c>
    </row>
    <row r="25" spans="1:14" x14ac:dyDescent="0.3">
      <c r="A25" t="s">
        <v>38</v>
      </c>
      <c r="B25" t="s">
        <v>73</v>
      </c>
      <c r="C25" t="s">
        <v>49</v>
      </c>
      <c r="D25">
        <f ca="1">VLOOKUP(B25,[1]Sheet1!$A:$F,3,FALSE)*(RANDBETWEEN(5,15)/100)</f>
        <v>48240000000</v>
      </c>
      <c r="E25">
        <f t="shared" ca="1" si="9"/>
        <v>-48240000000</v>
      </c>
      <c r="F25">
        <f t="shared" ca="1" si="0"/>
        <v>15436800000</v>
      </c>
      <c r="G25">
        <f t="shared" ca="1" si="1"/>
        <v>17366400000</v>
      </c>
      <c r="H25">
        <f t="shared" ca="1" si="2"/>
        <v>16401600000.000002</v>
      </c>
      <c r="I25">
        <f t="shared" ca="1" si="3"/>
        <v>4</v>
      </c>
      <c r="J25">
        <f t="shared" ca="1" si="4"/>
        <v>0.1</v>
      </c>
      <c r="K25">
        <f t="shared" ca="1" si="5"/>
        <v>-7531383921.863266</v>
      </c>
      <c r="L25" s="4">
        <f t="shared" ca="1" si="6"/>
        <v>9.8690070114981765E-3</v>
      </c>
      <c r="M25">
        <f t="shared" ca="1" si="7"/>
        <v>2.9411764705882351</v>
      </c>
      <c r="N25" t="str">
        <f t="shared" ca="1" si="8"/>
        <v>Reject</v>
      </c>
    </row>
    <row r="26" spans="1:14" x14ac:dyDescent="0.3">
      <c r="A26" t="s">
        <v>39</v>
      </c>
      <c r="B26" t="s">
        <v>73</v>
      </c>
      <c r="C26" t="s">
        <v>49</v>
      </c>
      <c r="D26">
        <f ca="1">VLOOKUP(B26,[1]Sheet1!$A:$F,3,FALSE)*(RANDBETWEEN(5,15)/100)</f>
        <v>60300000000</v>
      </c>
      <c r="E26">
        <f t="shared" ca="1" si="9"/>
        <v>-60300000000</v>
      </c>
      <c r="F26">
        <f t="shared" ca="1" si="0"/>
        <v>16281000000.000002</v>
      </c>
      <c r="G26">
        <f t="shared" ca="1" si="1"/>
        <v>20502000000</v>
      </c>
      <c r="H26">
        <f t="shared" ca="1" si="2"/>
        <v>22914000000</v>
      </c>
      <c r="I26">
        <f t="shared" ca="1" si="3"/>
        <v>4</v>
      </c>
      <c r="J26">
        <f t="shared" ca="1" si="4"/>
        <v>0.1</v>
      </c>
      <c r="K26">
        <f t="shared" ca="1" si="5"/>
        <v>-11339661908.3396</v>
      </c>
      <c r="L26" s="4">
        <f t="shared" ca="1" si="6"/>
        <v>-4.7459355478943754E-3</v>
      </c>
      <c r="M26" t="str">
        <f t="shared" ca="1" si="7"/>
        <v>&gt;3</v>
      </c>
      <c r="N26" t="str">
        <f t="shared" ca="1" si="8"/>
        <v>Reject</v>
      </c>
    </row>
    <row r="27" spans="1:14" x14ac:dyDescent="0.3">
      <c r="A27" t="s">
        <v>40</v>
      </c>
      <c r="B27" t="s">
        <v>73</v>
      </c>
      <c r="C27" t="s">
        <v>49</v>
      </c>
      <c r="D27">
        <f ca="1">VLOOKUP(B27,[1]Sheet1!$A:$F,3,FALSE)*(RANDBETWEEN(5,15)/100)</f>
        <v>84420000000.000015</v>
      </c>
      <c r="E27">
        <f t="shared" ca="1" si="9"/>
        <v>-84420000000.000015</v>
      </c>
      <c r="F27">
        <f t="shared" ca="1" si="0"/>
        <v>16884000000.000004</v>
      </c>
      <c r="G27">
        <f t="shared" ca="1" si="1"/>
        <v>25326000000.000004</v>
      </c>
      <c r="H27">
        <f t="shared" ca="1" si="2"/>
        <v>37144800000.000008</v>
      </c>
      <c r="I27">
        <f t="shared" ca="1" si="3"/>
        <v>4</v>
      </c>
      <c r="J27">
        <f t="shared" ca="1" si="4"/>
        <v>0.1</v>
      </c>
      <c r="K27">
        <f t="shared" ca="1" si="5"/>
        <v>-20232892561.983482</v>
      </c>
      <c r="L27" s="4">
        <f t="shared" ca="1" si="6"/>
        <v>-2.6963514711858538E-2</v>
      </c>
      <c r="M27" t="str">
        <f t="shared" ca="1" si="7"/>
        <v>&gt;3</v>
      </c>
      <c r="N27" t="str">
        <f t="shared" ca="1" si="8"/>
        <v>Reject</v>
      </c>
    </row>
    <row r="28" spans="1:14" x14ac:dyDescent="0.3">
      <c r="A28" t="s">
        <v>41</v>
      </c>
      <c r="B28" t="s">
        <v>73</v>
      </c>
      <c r="C28" t="s">
        <v>49</v>
      </c>
      <c r="D28">
        <f ca="1">VLOOKUP(B28,[1]Sheet1!$A:$F,3,FALSE)*(RANDBETWEEN(5,15)/100)</f>
        <v>36180000000</v>
      </c>
      <c r="E28">
        <f t="shared" ca="1" si="9"/>
        <v>-36180000000</v>
      </c>
      <c r="F28">
        <f t="shared" ca="1" si="0"/>
        <v>12301200000</v>
      </c>
      <c r="G28">
        <f t="shared" ca="1" si="1"/>
        <v>14110200000</v>
      </c>
      <c r="H28">
        <f t="shared" ca="1" si="2"/>
        <v>14472000000</v>
      </c>
      <c r="I28">
        <f t="shared" ca="1" si="3"/>
        <v>4</v>
      </c>
      <c r="J28">
        <f t="shared" ca="1" si="4"/>
        <v>0.1</v>
      </c>
      <c r="K28">
        <f t="shared" ca="1" si="5"/>
        <v>-2462740796.393692</v>
      </c>
      <c r="L28" s="4">
        <f t="shared" ca="1" si="6"/>
        <v>6.1945681994491464E-2</v>
      </c>
      <c r="M28">
        <f t="shared" ca="1" si="7"/>
        <v>2.6749999999999998</v>
      </c>
      <c r="N28" t="str">
        <f t="shared" ca="1" si="8"/>
        <v>Reject</v>
      </c>
    </row>
    <row r="29" spans="1:14" x14ac:dyDescent="0.3">
      <c r="A29" t="s">
        <v>42</v>
      </c>
      <c r="B29" t="s">
        <v>73</v>
      </c>
      <c r="C29" t="s">
        <v>49</v>
      </c>
      <c r="D29">
        <f ca="1">VLOOKUP(B29,[1]Sheet1!$A:$F,3,FALSE)*(RANDBETWEEN(5,15)/100)</f>
        <v>72360000000</v>
      </c>
      <c r="E29">
        <f t="shared" ca="1" si="9"/>
        <v>-72360000000</v>
      </c>
      <c r="F29">
        <f t="shared" ca="1" si="0"/>
        <v>21708000000</v>
      </c>
      <c r="G29">
        <f t="shared" ca="1" si="1"/>
        <v>24602400000</v>
      </c>
      <c r="H29">
        <f t="shared" ca="1" si="2"/>
        <v>31114800000</v>
      </c>
      <c r="I29">
        <f t="shared" ca="1" si="3"/>
        <v>2</v>
      </c>
      <c r="J29">
        <f t="shared" ca="1" si="4"/>
        <v>0.08</v>
      </c>
      <c r="K29">
        <f t="shared" ca="1" si="5"/>
        <v>-6467475994.5130386</v>
      </c>
      <c r="L29" s="4">
        <f t="shared" ca="1" si="6"/>
        <v>3.257316039996816E-2</v>
      </c>
      <c r="M29">
        <f t="shared" ca="1" si="7"/>
        <v>2.8372093023255816</v>
      </c>
      <c r="N29" t="str">
        <f t="shared" ca="1" si="8"/>
        <v>Reject</v>
      </c>
    </row>
    <row r="30" spans="1:14" x14ac:dyDescent="0.3">
      <c r="A30" t="s">
        <v>43</v>
      </c>
      <c r="B30" t="s">
        <v>73</v>
      </c>
      <c r="C30" t="s">
        <v>49</v>
      </c>
      <c r="D30">
        <f ca="1">VLOOKUP(B30,[1]Sheet1!$A:$F,3,FALSE)*(RANDBETWEEN(5,15)/100)</f>
        <v>36180000000</v>
      </c>
      <c r="E30">
        <f t="shared" ca="1" si="9"/>
        <v>-36180000000</v>
      </c>
      <c r="F30">
        <f t="shared" ca="1" si="0"/>
        <v>9768600000</v>
      </c>
      <c r="G30">
        <f t="shared" ca="1" si="1"/>
        <v>12663000000</v>
      </c>
      <c r="H30">
        <f t="shared" ca="1" si="2"/>
        <v>14833800000</v>
      </c>
      <c r="I30">
        <f t="shared" ca="1" si="3"/>
        <v>2</v>
      </c>
      <c r="J30">
        <f t="shared" ca="1" si="4"/>
        <v>0.08</v>
      </c>
      <c r="K30">
        <f t="shared" ca="1" si="5"/>
        <v>-4502969821.6735306</v>
      </c>
      <c r="L30" s="4">
        <f t="shared" ca="1" si="6"/>
        <v>1.3964414031138128E-2</v>
      </c>
      <c r="M30">
        <f t="shared" ca="1" si="7"/>
        <v>2.9268292682926829</v>
      </c>
      <c r="N30" t="str">
        <f t="shared" ca="1" si="8"/>
        <v>Reject</v>
      </c>
    </row>
    <row r="31" spans="1:14" x14ac:dyDescent="0.3">
      <c r="A31" t="s">
        <v>44</v>
      </c>
      <c r="B31" t="s">
        <v>73</v>
      </c>
      <c r="C31" t="s">
        <v>49</v>
      </c>
      <c r="D31">
        <f ca="1">VLOOKUP(B31,[1]Sheet1!$A:$F,3,FALSE)*(RANDBETWEEN(5,15)/100)</f>
        <v>30150000000</v>
      </c>
      <c r="E31">
        <f t="shared" ca="1" si="9"/>
        <v>-30150000000</v>
      </c>
      <c r="F31">
        <f t="shared" ca="1" si="0"/>
        <v>9045000000</v>
      </c>
      <c r="G31">
        <f t="shared" ca="1" si="1"/>
        <v>11457000000</v>
      </c>
      <c r="H31">
        <f t="shared" ca="1" si="2"/>
        <v>13567500000</v>
      </c>
      <c r="I31">
        <f t="shared" ca="1" si="3"/>
        <v>4</v>
      </c>
      <c r="J31">
        <f t="shared" ca="1" si="4"/>
        <v>0.1</v>
      </c>
      <c r="K31">
        <f t="shared" ca="1" si="5"/>
        <v>-2265214124.7182617</v>
      </c>
      <c r="L31" s="4">
        <f t="shared" ca="1" si="6"/>
        <v>5.9517296188176694E-2</v>
      </c>
      <c r="M31">
        <f t="shared" ca="1" si="7"/>
        <v>2.7111111111111112</v>
      </c>
      <c r="N31" t="str">
        <f t="shared" ca="1" si="8"/>
        <v>Reject</v>
      </c>
    </row>
    <row r="32" spans="1:14" x14ac:dyDescent="0.3">
      <c r="A32" t="s">
        <v>45</v>
      </c>
      <c r="B32" t="s">
        <v>73</v>
      </c>
      <c r="C32" t="s">
        <v>49</v>
      </c>
      <c r="D32">
        <f ca="1">VLOOKUP(B32,[1]Sheet1!$A:$F,3,FALSE)*(RANDBETWEEN(5,15)/100)</f>
        <v>90450000000</v>
      </c>
      <c r="E32">
        <f t="shared" ca="1" si="9"/>
        <v>-90450000000</v>
      </c>
      <c r="F32">
        <f t="shared" ca="1" si="0"/>
        <v>28944000000</v>
      </c>
      <c r="G32">
        <f t="shared" ca="1" si="1"/>
        <v>31657499999.999996</v>
      </c>
      <c r="H32">
        <f t="shared" ca="1" si="2"/>
        <v>34371000000</v>
      </c>
      <c r="I32">
        <f t="shared" ca="1" si="3"/>
        <v>4</v>
      </c>
      <c r="J32">
        <f t="shared" ca="1" si="4"/>
        <v>0.1</v>
      </c>
      <c r="K32">
        <f t="shared" ca="1" si="5"/>
        <v>-12150608564.988754</v>
      </c>
      <c r="L32" s="4">
        <f t="shared" ca="1" si="6"/>
        <v>2.4094596523997147E-2</v>
      </c>
      <c r="M32">
        <f t="shared" ca="1" si="7"/>
        <v>2.8684210526315792</v>
      </c>
      <c r="N32" t="str">
        <f t="shared" ca="1" si="8"/>
        <v>Reject</v>
      </c>
    </row>
    <row r="33" spans="1:14" x14ac:dyDescent="0.3">
      <c r="A33" t="s">
        <v>46</v>
      </c>
      <c r="B33" t="s">
        <v>73</v>
      </c>
      <c r="C33" t="s">
        <v>49</v>
      </c>
      <c r="D33">
        <f ca="1">VLOOKUP(B33,[1]Sheet1!$A:$F,3,FALSE)*(RANDBETWEEN(5,15)/100)</f>
        <v>48240000000</v>
      </c>
      <c r="E33">
        <f t="shared" ca="1" si="9"/>
        <v>-48240000000</v>
      </c>
      <c r="F33">
        <f t="shared" ca="1" si="0"/>
        <v>11577600000</v>
      </c>
      <c r="G33">
        <f t="shared" ca="1" si="1"/>
        <v>18331200000</v>
      </c>
      <c r="H33">
        <f t="shared" ca="1" si="2"/>
        <v>15436800000</v>
      </c>
      <c r="I33">
        <f t="shared" ca="1" si="3"/>
        <v>3</v>
      </c>
      <c r="J33">
        <f t="shared" ca="1" si="4"/>
        <v>0.08</v>
      </c>
      <c r="K33">
        <f t="shared" ca="1" si="5"/>
        <v>-9549721079.1037979</v>
      </c>
      <c r="L33" s="4">
        <f t="shared" ca="1" si="6"/>
        <v>-2.9119453189577094E-2</v>
      </c>
      <c r="M33" t="str">
        <f t="shared" ca="1" si="7"/>
        <v>&gt;3</v>
      </c>
      <c r="N33" t="str">
        <f t="shared" ca="1" si="8"/>
        <v>Reject</v>
      </c>
    </row>
    <row r="34" spans="1:14" x14ac:dyDescent="0.3">
      <c r="A34" t="s">
        <v>47</v>
      </c>
      <c r="B34" t="s">
        <v>73</v>
      </c>
      <c r="C34" t="s">
        <v>49</v>
      </c>
      <c r="D34">
        <f ca="1">VLOOKUP(B34,[1]Sheet1!$A:$F,3,FALSE)*(RANDBETWEEN(5,15)/100)</f>
        <v>72360000000</v>
      </c>
      <c r="E34">
        <f t="shared" ca="1" si="9"/>
        <v>-72360000000</v>
      </c>
      <c r="F34">
        <f t="shared" ca="1" si="0"/>
        <v>23155200000</v>
      </c>
      <c r="G34">
        <f t="shared" ca="1" si="1"/>
        <v>23878800000</v>
      </c>
      <c r="H34">
        <f t="shared" ca="1" si="2"/>
        <v>28220400000</v>
      </c>
      <c r="I34">
        <f t="shared" ca="1" si="3"/>
        <v>2</v>
      </c>
      <c r="J34">
        <f t="shared" ca="1" si="4"/>
        <v>0.08</v>
      </c>
      <c r="K34">
        <f t="shared" ca="1" si="5"/>
        <v>-8045514403.2921906</v>
      </c>
      <c r="L34" s="4">
        <f t="shared" ca="1" si="6"/>
        <v>1.921357364778431E-2</v>
      </c>
      <c r="M34">
        <f t="shared" ca="1" si="7"/>
        <v>2.8974358974358974</v>
      </c>
      <c r="N34" t="str">
        <f t="shared" ca="1" si="8"/>
        <v>Reject</v>
      </c>
    </row>
    <row r="35" spans="1:14" x14ac:dyDescent="0.3">
      <c r="A35" t="s">
        <v>48</v>
      </c>
      <c r="B35" t="s">
        <v>59</v>
      </c>
      <c r="C35" t="s">
        <v>60</v>
      </c>
      <c r="D35">
        <f ca="1">VLOOKUP(B35,[1]Sheet1!$A:$F,3,FALSE)*(RANDBETWEEN(5,15)/100)</f>
        <v>252000000000</v>
      </c>
      <c r="E35">
        <f t="shared" ca="1" si="9"/>
        <v>-252000000000</v>
      </c>
      <c r="F35">
        <f t="shared" ca="1" si="0"/>
        <v>80640000000</v>
      </c>
      <c r="G35">
        <f t="shared" ca="1" si="1"/>
        <v>100800000000</v>
      </c>
      <c r="H35">
        <f t="shared" ca="1" si="2"/>
        <v>75600000000</v>
      </c>
      <c r="I35">
        <f t="shared" ca="1" si="3"/>
        <v>6</v>
      </c>
      <c r="J35">
        <f t="shared" ca="1" si="4"/>
        <v>0.1</v>
      </c>
      <c r="K35">
        <f t="shared" ca="1" si="5"/>
        <v>-38585725018.782898</v>
      </c>
      <c r="L35" s="4">
        <f t="shared" ca="1" si="6"/>
        <v>1.0065042224089771E-2</v>
      </c>
      <c r="M35">
        <f t="shared" ca="1" si="7"/>
        <v>2.9333333333333336</v>
      </c>
      <c r="N35" t="str">
        <f t="shared" ca="1" si="8"/>
        <v>Reject</v>
      </c>
    </row>
    <row r="36" spans="1:14" x14ac:dyDescent="0.3">
      <c r="A36" t="s">
        <v>50</v>
      </c>
      <c r="B36" t="s">
        <v>59</v>
      </c>
      <c r="C36" t="s">
        <v>60</v>
      </c>
      <c r="D36">
        <f ca="1">VLOOKUP(B36,[1]Sheet1!$A:$F,3,FALSE)*(RANDBETWEEN(5,15)/100)</f>
        <v>226800000000</v>
      </c>
      <c r="E36">
        <f t="shared" ca="1" si="9"/>
        <v>-226800000000</v>
      </c>
      <c r="F36">
        <f t="shared" ca="1" si="0"/>
        <v>63504000000.000008</v>
      </c>
      <c r="G36">
        <f t="shared" ca="1" si="1"/>
        <v>68040000000</v>
      </c>
      <c r="H36">
        <f t="shared" ca="1" si="2"/>
        <v>81648000000</v>
      </c>
      <c r="I36">
        <f t="shared" ca="1" si="3"/>
        <v>4</v>
      </c>
      <c r="J36">
        <f t="shared" ca="1" si="4"/>
        <v>0.1</v>
      </c>
      <c r="K36">
        <f t="shared" ca="1" si="5"/>
        <v>-51494335086.401215</v>
      </c>
      <c r="L36" s="4">
        <f t="shared" ca="1" si="6"/>
        <v>-2.9102359115870002E-2</v>
      </c>
      <c r="M36" t="str">
        <f t="shared" ca="1" si="7"/>
        <v>&gt;3</v>
      </c>
      <c r="N36" t="str">
        <f t="shared" ca="1" si="8"/>
        <v>Reject</v>
      </c>
    </row>
    <row r="37" spans="1:14" x14ac:dyDescent="0.3">
      <c r="A37" t="s">
        <v>51</v>
      </c>
      <c r="B37" t="s">
        <v>59</v>
      </c>
      <c r="C37" t="s">
        <v>60</v>
      </c>
      <c r="D37">
        <f ca="1">VLOOKUP(B37,[1]Sheet1!$A:$F,3,FALSE)*(RANDBETWEEN(5,15)/100)</f>
        <v>226800000000</v>
      </c>
      <c r="E37">
        <f t="shared" ca="1" si="9"/>
        <v>-226800000000</v>
      </c>
      <c r="F37">
        <f t="shared" ca="1" si="0"/>
        <v>68040000000</v>
      </c>
      <c r="G37">
        <f t="shared" ca="1" si="1"/>
        <v>68040000000</v>
      </c>
      <c r="H37">
        <f t="shared" ca="1" si="2"/>
        <v>68040000000</v>
      </c>
      <c r="I37">
        <f ca="1">IFERROR(
IF(B37="Apple",RANDBETWEEN(2,4),
IF(B37="Hindustan Unilever",RANDBETWEEN(2,4),
IF(B37="HDFC",RANDBETWEEN(4,6),
IF(B37="Reliance Industries",RANDBETWEEN(5,7),
IF(B37="Tata Motors",RANDBETWEEN(6,8),""))))),
"")</f>
        <v>5</v>
      </c>
      <c r="J37">
        <f t="shared" ca="1" si="4"/>
        <v>0.1</v>
      </c>
      <c r="K37">
        <f t="shared" ca="1" si="5"/>
        <v>-57594590533.433533</v>
      </c>
      <c r="L37" s="4">
        <f t="shared" ca="1" si="6"/>
        <v>-5.0885441372620632E-2</v>
      </c>
      <c r="M37" t="str">
        <f t="shared" ca="1" si="7"/>
        <v>&gt;3</v>
      </c>
      <c r="N37" t="str">
        <f t="shared" ca="1" si="8"/>
        <v>Reject</v>
      </c>
    </row>
    <row r="38" spans="1:14" x14ac:dyDescent="0.3">
      <c r="A38" t="s">
        <v>52</v>
      </c>
      <c r="B38" t="s">
        <v>59</v>
      </c>
      <c r="C38" t="s">
        <v>60</v>
      </c>
      <c r="D38">
        <f ca="1">VLOOKUP(B38,[1]Sheet1!$A:$F,3,FALSE)*(RANDBETWEEN(5,15)/100)</f>
        <v>176400000000.00003</v>
      </c>
      <c r="E38">
        <f t="shared" ca="1" si="9"/>
        <v>-176400000000.00003</v>
      </c>
      <c r="F38">
        <f t="shared" ca="1" si="0"/>
        <v>47628000000.000008</v>
      </c>
      <c r="G38">
        <f t="shared" ca="1" si="1"/>
        <v>52920000000.000008</v>
      </c>
      <c r="H38">
        <f t="shared" ca="1" si="2"/>
        <v>54684000000.000008</v>
      </c>
      <c r="I38">
        <f t="shared" ca="1" si="3"/>
        <v>5</v>
      </c>
      <c r="J38">
        <f t="shared" ca="1" si="4"/>
        <v>0.1</v>
      </c>
      <c r="K38">
        <f t="shared" ca="1" si="5"/>
        <v>-48281382419.233704</v>
      </c>
      <c r="L38" s="4">
        <f t="shared" ca="1" si="6"/>
        <v>-6.0006510475306252E-2</v>
      </c>
      <c r="M38" t="str">
        <f t="shared" ca="1" si="7"/>
        <v>&gt;3</v>
      </c>
      <c r="N38" t="str">
        <f t="shared" ca="1" si="8"/>
        <v>Reject</v>
      </c>
    </row>
    <row r="39" spans="1:14" x14ac:dyDescent="0.3">
      <c r="A39" t="s">
        <v>53</v>
      </c>
      <c r="B39" t="s">
        <v>59</v>
      </c>
      <c r="C39" t="s">
        <v>60</v>
      </c>
      <c r="D39">
        <f ca="1">VLOOKUP(B39,[1]Sheet1!$A:$F,3,FALSE)*(RANDBETWEEN(5,15)/100)</f>
        <v>201600000000</v>
      </c>
      <c r="E39">
        <f t="shared" ca="1" si="9"/>
        <v>-201600000000</v>
      </c>
      <c r="F39">
        <f t="shared" ca="1" si="0"/>
        <v>56448000000.000008</v>
      </c>
      <c r="G39">
        <f t="shared" ca="1" si="1"/>
        <v>78624000000</v>
      </c>
      <c r="H39">
        <f t="shared" ca="1" si="2"/>
        <v>88704000000</v>
      </c>
      <c r="I39">
        <f t="shared" ca="1" si="3"/>
        <v>4</v>
      </c>
      <c r="J39">
        <f t="shared" ca="1" si="4"/>
        <v>0.1</v>
      </c>
      <c r="K39">
        <f t="shared" ca="1" si="5"/>
        <v>-18660495867.768616</v>
      </c>
      <c r="L39" s="4">
        <f t="shared" ca="1" si="6"/>
        <v>5.0246759060132096E-2</v>
      </c>
      <c r="M39">
        <f t="shared" ca="1" si="7"/>
        <v>2.75</v>
      </c>
      <c r="N39" t="str">
        <f t="shared" ca="1" si="8"/>
        <v>Reject</v>
      </c>
    </row>
    <row r="40" spans="1:14" x14ac:dyDescent="0.3">
      <c r="A40" t="s">
        <v>54</v>
      </c>
      <c r="B40" t="s">
        <v>59</v>
      </c>
      <c r="C40" t="s">
        <v>60</v>
      </c>
      <c r="D40">
        <f ca="1">VLOOKUP(B40,[1]Sheet1!$A:$F,3,FALSE)*(RANDBETWEEN(5,15)/100)</f>
        <v>327600000000</v>
      </c>
      <c r="E40">
        <f t="shared" ca="1" si="9"/>
        <v>-327600000000</v>
      </c>
      <c r="F40">
        <f t="shared" ca="1" si="0"/>
        <v>91728000000.000015</v>
      </c>
      <c r="G40">
        <f t="shared" ca="1" si="1"/>
        <v>88452000000</v>
      </c>
      <c r="H40">
        <f t="shared" ca="1" si="2"/>
        <v>134315999999.99998</v>
      </c>
      <c r="I40">
        <f t="shared" ca="1" si="3"/>
        <v>6</v>
      </c>
      <c r="J40">
        <f t="shared" ca="1" si="4"/>
        <v>0.1</v>
      </c>
      <c r="K40">
        <f t="shared" ca="1" si="5"/>
        <v>-70196483846.731842</v>
      </c>
      <c r="L40" s="4">
        <f t="shared" ca="1" si="6"/>
        <v>-1.8876725011399587E-2</v>
      </c>
      <c r="M40" t="str">
        <f t="shared" ca="1" si="7"/>
        <v>&gt;3</v>
      </c>
      <c r="N40" t="str">
        <f t="shared" ca="1" si="8"/>
        <v>Reject</v>
      </c>
    </row>
    <row r="41" spans="1:14" x14ac:dyDescent="0.3">
      <c r="A41" t="s">
        <v>55</v>
      </c>
      <c r="B41" t="s">
        <v>59</v>
      </c>
      <c r="C41" t="s">
        <v>60</v>
      </c>
      <c r="D41">
        <f ca="1">VLOOKUP(B41,[1]Sheet1!$A:$F,3,FALSE)*(RANDBETWEEN(5,15)/100)</f>
        <v>302400000000</v>
      </c>
      <c r="E41">
        <f t="shared" ca="1" si="9"/>
        <v>-302400000000</v>
      </c>
      <c r="F41">
        <f t="shared" ca="1" si="0"/>
        <v>60480000000</v>
      </c>
      <c r="G41">
        <f t="shared" ca="1" si="1"/>
        <v>96768000000</v>
      </c>
      <c r="H41">
        <f t="shared" ca="1" si="2"/>
        <v>96768000000</v>
      </c>
      <c r="I41">
        <f t="shared" ca="1" si="3"/>
        <v>4</v>
      </c>
      <c r="J41">
        <f t="shared" ca="1" si="4"/>
        <v>0.1</v>
      </c>
      <c r="K41">
        <f t="shared" ca="1" si="5"/>
        <v>-94741397445.529724</v>
      </c>
      <c r="L41" s="4">
        <f t="shared" ca="1" si="6"/>
        <v>-7.7313362964408161E-2</v>
      </c>
      <c r="M41" t="str">
        <f t="shared" ca="1" si="7"/>
        <v>&gt;3</v>
      </c>
      <c r="N41" t="str">
        <f t="shared" ca="1" si="8"/>
        <v>Reject</v>
      </c>
    </row>
    <row r="42" spans="1:14" x14ac:dyDescent="0.3">
      <c r="A42" t="s">
        <v>56</v>
      </c>
      <c r="B42" t="s">
        <v>59</v>
      </c>
      <c r="C42" t="s">
        <v>60</v>
      </c>
      <c r="D42">
        <f ca="1">VLOOKUP(B42,[1]Sheet1!$A:$F,3,FALSE)*(RANDBETWEEN(5,15)/100)</f>
        <v>151200000000</v>
      </c>
      <c r="E42">
        <f t="shared" ca="1" si="9"/>
        <v>-151200000000</v>
      </c>
      <c r="F42">
        <f t="shared" ca="1" si="0"/>
        <v>46872000000</v>
      </c>
      <c r="G42">
        <f t="shared" ca="1" si="1"/>
        <v>43848000000</v>
      </c>
      <c r="H42">
        <f t="shared" ca="1" si="2"/>
        <v>60480000000</v>
      </c>
      <c r="I42">
        <f t="shared" ca="1" si="3"/>
        <v>6</v>
      </c>
      <c r="J42">
        <f t="shared" ca="1" si="4"/>
        <v>0.1</v>
      </c>
      <c r="K42">
        <f t="shared" ca="1" si="5"/>
        <v>-26911555221.637878</v>
      </c>
      <c r="L42" s="4">
        <f t="shared" ca="1" si="6"/>
        <v>0</v>
      </c>
      <c r="M42">
        <f t="shared" ca="1" si="7"/>
        <v>3</v>
      </c>
      <c r="N42" t="str">
        <f t="shared" ca="1" si="8"/>
        <v>Reject</v>
      </c>
    </row>
    <row r="43" spans="1:14" x14ac:dyDescent="0.3">
      <c r="A43" t="s">
        <v>57</v>
      </c>
      <c r="B43" t="s">
        <v>59</v>
      </c>
      <c r="C43" t="s">
        <v>60</v>
      </c>
      <c r="D43">
        <f ca="1">VLOOKUP(B43,[1]Sheet1!$A:$F,3,FALSE)*(RANDBETWEEN(5,15)/100)</f>
        <v>176400000000.00003</v>
      </c>
      <c r="E43">
        <f t="shared" ca="1" si="9"/>
        <v>-176400000000.00003</v>
      </c>
      <c r="F43">
        <f t="shared" ca="1" si="0"/>
        <v>44100000000.000008</v>
      </c>
      <c r="G43">
        <f t="shared" ca="1" si="1"/>
        <v>56448000000.000008</v>
      </c>
      <c r="H43">
        <f t="shared" ca="1" si="2"/>
        <v>59976000000.000015</v>
      </c>
      <c r="I43">
        <f t="shared" ca="1" si="3"/>
        <v>5</v>
      </c>
      <c r="J43">
        <f t="shared" ca="1" si="4"/>
        <v>0.1</v>
      </c>
      <c r="K43">
        <f t="shared" ca="1" si="5"/>
        <v>-44596994740.796417</v>
      </c>
      <c r="L43" s="4">
        <f t="shared" ca="1" si="6"/>
        <v>-4.3649727363918034E-2</v>
      </c>
      <c r="M43" t="str">
        <f t="shared" ca="1" si="7"/>
        <v>&gt;3</v>
      </c>
      <c r="N43" t="str">
        <f t="shared" ca="1" si="8"/>
        <v>Reject</v>
      </c>
    </row>
    <row r="44" spans="1:14" x14ac:dyDescent="0.3">
      <c r="A44" t="s">
        <v>58</v>
      </c>
      <c r="B44" t="s">
        <v>59</v>
      </c>
      <c r="C44" t="s">
        <v>60</v>
      </c>
      <c r="D44">
        <f ca="1">VLOOKUP(B44,[1]Sheet1!$A:$F,3,FALSE)*(RANDBETWEEN(5,15)/100)</f>
        <v>327600000000</v>
      </c>
      <c r="E44">
        <f t="shared" ca="1" si="9"/>
        <v>-327600000000</v>
      </c>
      <c r="F44">
        <f t="shared" ca="1" si="0"/>
        <v>98280000000</v>
      </c>
      <c r="G44">
        <f t="shared" ca="1" si="1"/>
        <v>85176000000</v>
      </c>
      <c r="H44">
        <f t="shared" ca="1" si="2"/>
        <v>98280000000</v>
      </c>
      <c r="I44">
        <f t="shared" ca="1" si="3"/>
        <v>5</v>
      </c>
      <c r="J44">
        <f t="shared" ca="1" si="4"/>
        <v>0.1</v>
      </c>
      <c r="K44">
        <f t="shared" ca="1" si="5"/>
        <v>-94021938392.18634</v>
      </c>
      <c r="L44" s="4">
        <f t="shared" ca="1" si="6"/>
        <v>-7.1741739472376498E-2</v>
      </c>
      <c r="M44" t="str">
        <f t="shared" ca="1" si="7"/>
        <v>&gt;3</v>
      </c>
      <c r="N44" t="str">
        <f t="shared" ca="1" si="8"/>
        <v>Reject</v>
      </c>
    </row>
    <row r="45" spans="1:14" x14ac:dyDescent="0.3">
      <c r="A45" t="s">
        <v>61</v>
      </c>
      <c r="B45" t="s">
        <v>71</v>
      </c>
      <c r="C45" t="s">
        <v>72</v>
      </c>
      <c r="D45">
        <f ca="1">VLOOKUP(B45,[1]Sheet1!$A:$F,3,FALSE)*(RANDBETWEEN(5,15)/100)</f>
        <v>305900000000</v>
      </c>
      <c r="E45">
        <f t="shared" ca="1" si="9"/>
        <v>-305900000000</v>
      </c>
      <c r="F45">
        <f t="shared" ca="1" si="0"/>
        <v>88711000000</v>
      </c>
      <c r="G45">
        <f t="shared" ca="1" si="1"/>
        <v>122360000000</v>
      </c>
      <c r="H45">
        <f t="shared" ca="1" si="2"/>
        <v>125419000000</v>
      </c>
      <c r="I45">
        <f t="shared" ca="1" si="3"/>
        <v>6</v>
      </c>
      <c r="J45">
        <f t="shared" ca="1" si="4"/>
        <v>0.1</v>
      </c>
      <c r="K45">
        <f t="shared" ca="1" si="5"/>
        <v>-29900518407.212646</v>
      </c>
      <c r="L45" s="4">
        <f t="shared" ca="1" si="6"/>
        <v>4.6548167854655098E-2</v>
      </c>
      <c r="M45">
        <f t="shared" ca="1" si="7"/>
        <v>2.7560975609756095</v>
      </c>
      <c r="N45" t="str">
        <f t="shared" ca="1" si="8"/>
        <v>Reject</v>
      </c>
    </row>
    <row r="46" spans="1:14" x14ac:dyDescent="0.3">
      <c r="A46" t="s">
        <v>62</v>
      </c>
      <c r="B46" t="s">
        <v>71</v>
      </c>
      <c r="C46" t="s">
        <v>72</v>
      </c>
      <c r="D46">
        <f ca="1">VLOOKUP(B46,[1]Sheet1!$A:$F,3,FALSE)*(RANDBETWEEN(5,15)/100)</f>
        <v>349600000000</v>
      </c>
      <c r="E46">
        <f t="shared" ca="1" si="9"/>
        <v>-349600000000</v>
      </c>
      <c r="F46">
        <f t="shared" ca="1" si="0"/>
        <v>108376000000</v>
      </c>
      <c r="G46">
        <f t="shared" ca="1" si="1"/>
        <v>139840000000</v>
      </c>
      <c r="H46">
        <f t="shared" ca="1" si="2"/>
        <v>122359999999.99998</v>
      </c>
      <c r="I46">
        <f t="shared" ca="1" si="3"/>
        <v>6</v>
      </c>
      <c r="J46">
        <f t="shared" ca="1" si="4"/>
        <v>0.1</v>
      </c>
      <c r="K46">
        <f t="shared" ca="1" si="5"/>
        <v>-43575236664.162354</v>
      </c>
      <c r="L46" s="4">
        <f t="shared" ca="1" si="6"/>
        <v>2.9137134849872348E-2</v>
      </c>
      <c r="M46">
        <f t="shared" ca="1" si="7"/>
        <v>2.8285714285714287</v>
      </c>
      <c r="N46" t="str">
        <f t="shared" ca="1" si="8"/>
        <v>Reject</v>
      </c>
    </row>
    <row r="47" spans="1:14" x14ac:dyDescent="0.3">
      <c r="A47" t="s">
        <v>63</v>
      </c>
      <c r="B47" t="s">
        <v>71</v>
      </c>
      <c r="C47" t="s">
        <v>72</v>
      </c>
      <c r="D47">
        <f ca="1">VLOOKUP(B47,[1]Sheet1!$A:$F,3,FALSE)*(RANDBETWEEN(5,15)/100)</f>
        <v>480700000000</v>
      </c>
      <c r="E47">
        <f t="shared" ca="1" si="9"/>
        <v>-480700000000</v>
      </c>
      <c r="F47">
        <f t="shared" ca="1" si="0"/>
        <v>96140000000</v>
      </c>
      <c r="G47">
        <f t="shared" ca="1" si="1"/>
        <v>120175000000</v>
      </c>
      <c r="H47">
        <f t="shared" ca="1" si="2"/>
        <v>163438000000</v>
      </c>
      <c r="I47">
        <f t="shared" ca="1" si="3"/>
        <v>7</v>
      </c>
      <c r="J47">
        <f t="shared" ca="1" si="4"/>
        <v>0.12</v>
      </c>
      <c r="K47">
        <f t="shared" ca="1" si="5"/>
        <v>-182725999908.89221</v>
      </c>
      <c r="L47" s="4">
        <f t="shared" ca="1" si="6"/>
        <v>-1</v>
      </c>
      <c r="M47" t="str">
        <f t="shared" ca="1" si="7"/>
        <v>&gt;3</v>
      </c>
      <c r="N47" t="str">
        <f t="shared" ca="1" si="8"/>
        <v>Reject</v>
      </c>
    </row>
    <row r="48" spans="1:14" x14ac:dyDescent="0.3">
      <c r="A48" t="s">
        <v>64</v>
      </c>
      <c r="B48" t="s">
        <v>71</v>
      </c>
      <c r="C48" t="s">
        <v>72</v>
      </c>
      <c r="D48">
        <f ca="1">VLOOKUP(B48,[1]Sheet1!$A:$F,3,FALSE)*(RANDBETWEEN(5,15)/100)</f>
        <v>568100000000</v>
      </c>
      <c r="E48">
        <f t="shared" ca="1" si="9"/>
        <v>-568100000000</v>
      </c>
      <c r="F48">
        <f t="shared" ca="1" si="0"/>
        <v>198835000000</v>
      </c>
      <c r="G48">
        <f t="shared" ca="1" si="1"/>
        <v>204516000000</v>
      </c>
      <c r="H48">
        <f t="shared" ca="1" si="2"/>
        <v>198835000000</v>
      </c>
      <c r="I48">
        <f t="shared" ca="1" si="3"/>
        <v>6</v>
      </c>
      <c r="J48">
        <f t="shared" ca="1" si="4"/>
        <v>0.1</v>
      </c>
      <c r="K48">
        <f t="shared" ca="1" si="5"/>
        <v>-68931743050.338257</v>
      </c>
      <c r="L48" s="4">
        <f t="shared" ca="1" si="6"/>
        <v>2.9708696538327306E-2</v>
      </c>
      <c r="M48">
        <f t="shared" ca="1" si="7"/>
        <v>2.8285714285714287</v>
      </c>
      <c r="N48" t="str">
        <f t="shared" ca="1" si="8"/>
        <v>Reject</v>
      </c>
    </row>
    <row r="49" spans="1:14" x14ac:dyDescent="0.3">
      <c r="A49" t="s">
        <v>65</v>
      </c>
      <c r="B49" t="s">
        <v>71</v>
      </c>
      <c r="C49" t="s">
        <v>72</v>
      </c>
      <c r="D49">
        <f ca="1">VLOOKUP(B49,[1]Sheet1!$A:$F,3,FALSE)*(RANDBETWEEN(5,15)/100)</f>
        <v>349600000000</v>
      </c>
      <c r="E49">
        <f t="shared" ca="1" si="9"/>
        <v>-349600000000</v>
      </c>
      <c r="F49">
        <f t="shared" ca="1" si="0"/>
        <v>118864000000.00002</v>
      </c>
      <c r="G49">
        <f t="shared" ca="1" si="1"/>
        <v>125856000000</v>
      </c>
      <c r="H49">
        <f t="shared" ca="1" si="2"/>
        <v>122359999999.99998</v>
      </c>
      <c r="I49">
        <f t="shared" ca="1" si="3"/>
        <v>6</v>
      </c>
      <c r="J49">
        <f t="shared" ca="1" si="4"/>
        <v>0.1</v>
      </c>
      <c r="K49">
        <f t="shared" ca="1" si="5"/>
        <v>-45597716003.00531</v>
      </c>
      <c r="L49" s="4">
        <f t="shared" ca="1" si="6"/>
        <v>2.4676156430228247E-2</v>
      </c>
      <c r="M49">
        <f t="shared" ca="1" si="7"/>
        <v>2.8571428571428572</v>
      </c>
      <c r="N49" t="str">
        <f t="shared" ca="1" si="8"/>
        <v>Reject</v>
      </c>
    </row>
    <row r="50" spans="1:14" x14ac:dyDescent="0.3">
      <c r="A50" t="s">
        <v>66</v>
      </c>
      <c r="B50" t="s">
        <v>71</v>
      </c>
      <c r="C50" t="s">
        <v>72</v>
      </c>
      <c r="D50">
        <f ca="1">VLOOKUP(B50,[1]Sheet1!$A:$F,3,FALSE)*(RANDBETWEEN(5,15)/100)</f>
        <v>480700000000</v>
      </c>
      <c r="E50">
        <f t="shared" ca="1" si="9"/>
        <v>-480700000000</v>
      </c>
      <c r="F50">
        <f t="shared" ca="1" si="0"/>
        <v>144210000000</v>
      </c>
      <c r="G50">
        <f t="shared" ca="1" si="1"/>
        <v>163438000000</v>
      </c>
      <c r="H50">
        <f t="shared" ca="1" si="2"/>
        <v>187473000000</v>
      </c>
      <c r="I50">
        <f t="shared" ca="1" si="3"/>
        <v>8</v>
      </c>
      <c r="J50">
        <f t="shared" ca="1" si="4"/>
        <v>0.12</v>
      </c>
      <c r="K50">
        <f t="shared" ca="1" si="5"/>
        <v>-88209720071.064209</v>
      </c>
      <c r="L50" s="4">
        <f t="shared" ca="1" si="6"/>
        <v>1.4293896947845441E-2</v>
      </c>
      <c r="M50">
        <f t="shared" ca="1" si="7"/>
        <v>2.9230769230769234</v>
      </c>
      <c r="N50" t="str">
        <f t="shared" ca="1" si="8"/>
        <v>Reject</v>
      </c>
    </row>
    <row r="51" spans="1:14" x14ac:dyDescent="0.3">
      <c r="A51" t="s">
        <v>67</v>
      </c>
      <c r="B51" t="s">
        <v>71</v>
      </c>
      <c r="C51" t="s">
        <v>72</v>
      </c>
      <c r="D51">
        <f ca="1">VLOOKUP(B51,[1]Sheet1!$A:$F,3,FALSE)*(RANDBETWEEN(5,15)/100)</f>
        <v>655500000000</v>
      </c>
      <c r="E51">
        <f t="shared" ca="1" si="9"/>
        <v>-655500000000</v>
      </c>
      <c r="F51">
        <f t="shared" ca="1" si="0"/>
        <v>209760000000</v>
      </c>
      <c r="G51">
        <f t="shared" ca="1" si="1"/>
        <v>222870000000.00003</v>
      </c>
      <c r="H51">
        <f t="shared" ca="1" si="2"/>
        <v>294975000000</v>
      </c>
      <c r="I51">
        <f t="shared" ca="1" si="3"/>
        <v>8</v>
      </c>
      <c r="J51">
        <f t="shared" ca="1" si="4"/>
        <v>0.12</v>
      </c>
      <c r="K51">
        <f t="shared" ca="1" si="5"/>
        <v>-80586307625.729004</v>
      </c>
      <c r="L51" s="4">
        <f t="shared" ca="1" si="6"/>
        <v>5.0946401389853957E-2</v>
      </c>
      <c r="M51">
        <f t="shared" ca="1" si="7"/>
        <v>2.7555555555555555</v>
      </c>
      <c r="N51" t="str">
        <f t="shared" ca="1" si="8"/>
        <v>Reject</v>
      </c>
    </row>
    <row r="52" spans="1:14" x14ac:dyDescent="0.3">
      <c r="A52" t="s">
        <v>68</v>
      </c>
      <c r="B52" t="s">
        <v>71</v>
      </c>
      <c r="C52" t="s">
        <v>72</v>
      </c>
      <c r="D52">
        <f ca="1">VLOOKUP(B52,[1]Sheet1!$A:$F,3,FALSE)*(RANDBETWEEN(5,15)/100)</f>
        <v>568100000000</v>
      </c>
      <c r="E52">
        <f t="shared" ca="1" si="9"/>
        <v>-568100000000</v>
      </c>
      <c r="F52">
        <f t="shared" ca="1" si="0"/>
        <v>170430000000</v>
      </c>
      <c r="G52">
        <f t="shared" ca="1" si="1"/>
        <v>193154000000</v>
      </c>
      <c r="H52">
        <f t="shared" ca="1" si="2"/>
        <v>176111000000</v>
      </c>
      <c r="I52">
        <f t="shared" ca="1" si="3"/>
        <v>6</v>
      </c>
      <c r="J52">
        <f t="shared" ca="1" si="4"/>
        <v>0.1</v>
      </c>
      <c r="K52">
        <f t="shared" ca="1" si="5"/>
        <v>-121217430503.38098</v>
      </c>
      <c r="L52" s="4">
        <f t="shared" ca="1" si="6"/>
        <v>-2.5089209673694768E-2</v>
      </c>
      <c r="M52" t="str">
        <f t="shared" ca="1" si="7"/>
        <v>&gt;3</v>
      </c>
      <c r="N52" t="str">
        <f t="shared" ca="1" si="8"/>
        <v>Reject</v>
      </c>
    </row>
    <row r="53" spans="1:14" x14ac:dyDescent="0.3">
      <c r="A53" t="s">
        <v>69</v>
      </c>
      <c r="B53" t="s">
        <v>71</v>
      </c>
      <c r="C53" t="s">
        <v>72</v>
      </c>
      <c r="D53">
        <f ca="1">VLOOKUP(B53,[1]Sheet1!$A:$F,3,FALSE)*(RANDBETWEEN(5,15)/100)</f>
        <v>393300000000</v>
      </c>
      <c r="E53">
        <f t="shared" ca="1" si="9"/>
        <v>-393300000000</v>
      </c>
      <c r="F53">
        <f t="shared" ca="1" si="0"/>
        <v>137655000000</v>
      </c>
      <c r="G53">
        <f t="shared" ca="1" si="1"/>
        <v>137655000000</v>
      </c>
      <c r="H53">
        <f t="shared" ca="1" si="2"/>
        <v>125856000000</v>
      </c>
      <c r="I53">
        <f t="shared" ca="1" si="3"/>
        <v>7</v>
      </c>
      <c r="J53">
        <f t="shared" ca="1" si="4"/>
        <v>0.12</v>
      </c>
      <c r="K53">
        <f t="shared" ca="1" si="5"/>
        <v>-71074211916.909668</v>
      </c>
      <c r="L53" s="4">
        <f t="shared" ca="1" si="6"/>
        <v>1.0116789020155448E-2</v>
      </c>
      <c r="M53">
        <f t="shared" ca="1" si="7"/>
        <v>2.9375</v>
      </c>
      <c r="N53" t="str">
        <f t="shared" ca="1" si="8"/>
        <v>Reject</v>
      </c>
    </row>
    <row r="54" spans="1:14" x14ac:dyDescent="0.3">
      <c r="A54" t="s">
        <v>70</v>
      </c>
      <c r="B54" t="s">
        <v>71</v>
      </c>
      <c r="C54" t="s">
        <v>72</v>
      </c>
      <c r="D54">
        <f ca="1">VLOOKUP(B54,[1]Sheet1!$A:$F,3,FALSE)*(RANDBETWEEN(5,15)/100)</f>
        <v>655500000000</v>
      </c>
      <c r="E54">
        <f t="shared" ca="1" si="9"/>
        <v>-655500000000</v>
      </c>
      <c r="F54">
        <f t="shared" ca="1" si="0"/>
        <v>137655000000</v>
      </c>
      <c r="G54">
        <f t="shared" ca="1" si="1"/>
        <v>170430000000</v>
      </c>
      <c r="H54">
        <f t="shared" ca="1" si="2"/>
        <v>275310000000</v>
      </c>
      <c r="I54">
        <f t="shared" ca="1" si="3"/>
        <v>8</v>
      </c>
      <c r="J54">
        <f t="shared" ca="1" si="4"/>
        <v>0.12</v>
      </c>
      <c r="K54">
        <f t="shared" ca="1" si="5"/>
        <v>-200767777423.46948</v>
      </c>
      <c r="L54" s="4">
        <f t="shared" ca="1" si="6"/>
        <v>-1</v>
      </c>
      <c r="M54" t="str">
        <f t="shared" ca="1" si="7"/>
        <v>&gt;3</v>
      </c>
      <c r="N54" t="str">
        <f t="shared" ca="1" si="8"/>
        <v>Reject</v>
      </c>
    </row>
    <row r="55" spans="1:14" x14ac:dyDescent="0.3">
      <c r="L55" s="4"/>
    </row>
    <row r="56" spans="1:14" x14ac:dyDescent="0.3">
      <c r="L5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Deepti pal</dc:creator>
  <cp:lastModifiedBy>Deepti pal</cp:lastModifiedBy>
  <dcterms:created xsi:type="dcterms:W3CDTF">2026-02-09T15:26:28Z</dcterms:created>
  <dcterms:modified xsi:type="dcterms:W3CDTF">2026-02-09T18:14:42Z</dcterms:modified>
</cp:coreProperties>
</file>