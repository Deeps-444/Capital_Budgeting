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BL2_Capital_Budgeting\data\processed_data\"/>
    </mc:Choice>
  </mc:AlternateContent>
  <xr:revisionPtr revIDLastSave="0" documentId="13_ncr:1_{76F171FF-96D5-4E36-9D38-4CCE03211ADE}" xr6:coauthVersionLast="47" xr6:coauthVersionMax="47" xr10:uidLastSave="{00000000-0000-0000-0000-000000000000}"/>
  <bookViews>
    <workbookView xWindow="7464" yWindow="0" windowWidth="15672" windowHeight="12336" xr2:uid="{58F4E62B-1BF5-4D1D-9F53-518DEF65DD8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1" l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C249" i="1"/>
  <c r="C250" i="1"/>
  <c r="C251" i="1"/>
  <c r="C252" i="1"/>
  <c r="C253" i="1"/>
  <c r="C254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40" i="1"/>
  <c r="C41" i="1"/>
  <c r="C42" i="1"/>
  <c r="C43" i="1"/>
  <c r="C44" i="1"/>
  <c r="C45" i="1"/>
  <c r="I45" i="1" s="1"/>
  <c r="J45" i="1" s="1"/>
  <c r="C46" i="1"/>
  <c r="I46" i="1" s="1"/>
  <c r="J46" i="1" s="1"/>
  <c r="C47" i="1"/>
  <c r="I47" i="1" s="1"/>
  <c r="J47" i="1" s="1"/>
  <c r="C48" i="1"/>
  <c r="I48" i="1" s="1"/>
  <c r="J48" i="1" s="1"/>
  <c r="C49" i="1"/>
  <c r="I49" i="1" s="1"/>
  <c r="J49" i="1" s="1"/>
  <c r="C50" i="1"/>
  <c r="I50" i="1" s="1"/>
  <c r="J50" i="1" s="1"/>
  <c r="C51" i="1"/>
  <c r="I51" i="1" s="1"/>
  <c r="J51" i="1" s="1"/>
  <c r="C52" i="1"/>
  <c r="C53" i="1"/>
  <c r="C29" i="1"/>
  <c r="C30" i="1"/>
  <c r="C31" i="1"/>
  <c r="C32" i="1"/>
  <c r="C33" i="1"/>
  <c r="C34" i="1"/>
  <c r="I34" i="1" s="1"/>
  <c r="J34" i="1" s="1"/>
  <c r="C35" i="1"/>
  <c r="I35" i="1" s="1"/>
  <c r="J35" i="1" s="1"/>
  <c r="C36" i="1"/>
  <c r="I36" i="1" s="1"/>
  <c r="J36" i="1" s="1"/>
  <c r="C37" i="1"/>
  <c r="I37" i="1" s="1"/>
  <c r="J37" i="1" s="1"/>
  <c r="C38" i="1"/>
  <c r="I38" i="1" s="1"/>
  <c r="J38" i="1" s="1"/>
  <c r="C39" i="1"/>
  <c r="C6" i="1"/>
  <c r="C7" i="1"/>
  <c r="C8" i="1"/>
  <c r="C9" i="1"/>
  <c r="I9" i="1" s="1"/>
  <c r="J9" i="1" s="1"/>
  <c r="C10" i="1"/>
  <c r="C11" i="1"/>
  <c r="I11" i="1" s="1"/>
  <c r="J11" i="1" s="1"/>
  <c r="C12" i="1"/>
  <c r="I12" i="1" s="1"/>
  <c r="J12" i="1" s="1"/>
  <c r="C13" i="1"/>
  <c r="I13" i="1" s="1"/>
  <c r="J13" i="1" s="1"/>
  <c r="C14" i="1"/>
  <c r="I14" i="1" s="1"/>
  <c r="J14" i="1" s="1"/>
  <c r="C15" i="1"/>
  <c r="I15" i="1" s="1"/>
  <c r="J15" i="1" s="1"/>
  <c r="C16" i="1"/>
  <c r="I16" i="1" s="1"/>
  <c r="J16" i="1" s="1"/>
  <c r="C17" i="1"/>
  <c r="I17" i="1" s="1"/>
  <c r="J17" i="1" s="1"/>
  <c r="C18" i="1"/>
  <c r="C19" i="1"/>
  <c r="C20" i="1"/>
  <c r="C21" i="1"/>
  <c r="I21" i="1" s="1"/>
  <c r="J21" i="1" s="1"/>
  <c r="C22" i="1"/>
  <c r="C23" i="1"/>
  <c r="I23" i="1" s="1"/>
  <c r="J23" i="1" s="1"/>
  <c r="C24" i="1"/>
  <c r="I24" i="1" s="1"/>
  <c r="J24" i="1" s="1"/>
  <c r="C25" i="1"/>
  <c r="I25" i="1" s="1"/>
  <c r="J25" i="1" s="1"/>
  <c r="C26" i="1"/>
  <c r="I26" i="1" s="1"/>
  <c r="J26" i="1" s="1"/>
  <c r="C27" i="1"/>
  <c r="I27" i="1" s="1"/>
  <c r="J27" i="1" s="1"/>
  <c r="C28" i="1"/>
  <c r="I28" i="1" s="1"/>
  <c r="J28" i="1" s="1"/>
  <c r="C5" i="1"/>
  <c r="I5" i="1" s="1"/>
  <c r="J5" i="1" s="1"/>
  <c r="B244" i="1" a="1"/>
  <c r="B244" i="1" s="1"/>
  <c r="B245" i="1" a="1"/>
  <c r="B245" i="1" s="1"/>
  <c r="B246" i="1" a="1"/>
  <c r="B246" i="1" s="1"/>
  <c r="B247" i="1" a="1"/>
  <c r="B247" i="1"/>
  <c r="B248" i="1" a="1"/>
  <c r="B248" i="1"/>
  <c r="B249" i="1" a="1"/>
  <c r="B249" i="1"/>
  <c r="B250" i="1" a="1"/>
  <c r="B250" i="1" s="1"/>
  <c r="B251" i="1" a="1"/>
  <c r="B251" i="1"/>
  <c r="B252" i="1" a="1"/>
  <c r="B252" i="1" s="1"/>
  <c r="B253" i="1" a="1"/>
  <c r="B253" i="1"/>
  <c r="B254" i="1" a="1"/>
  <c r="B254" i="1"/>
  <c r="B232" i="1" a="1"/>
  <c r="B232" i="1" s="1"/>
  <c r="B233" i="1" a="1"/>
  <c r="B233" i="1" s="1"/>
  <c r="B234" i="1" a="1"/>
  <c r="B234" i="1" s="1"/>
  <c r="B235" i="1" a="1"/>
  <c r="B235" i="1"/>
  <c r="B236" i="1" a="1"/>
  <c r="B236" i="1"/>
  <c r="B237" i="1" a="1"/>
  <c r="B237" i="1"/>
  <c r="B238" i="1" a="1"/>
  <c r="B238" i="1" s="1"/>
  <c r="B239" i="1" a="1"/>
  <c r="B239" i="1" s="1"/>
  <c r="B240" i="1" a="1"/>
  <c r="B240" i="1" s="1"/>
  <c r="B241" i="1" a="1"/>
  <c r="B241" i="1"/>
  <c r="B242" i="1" a="1"/>
  <c r="B242" i="1"/>
  <c r="B243" i="1" a="1"/>
  <c r="B243" i="1"/>
  <c r="B218" i="1" a="1"/>
  <c r="B218" i="1" s="1"/>
  <c r="B219" i="1" a="1"/>
  <c r="B219" i="1" s="1"/>
  <c r="B220" i="1" a="1"/>
  <c r="B220" i="1" s="1"/>
  <c r="B221" i="1" a="1"/>
  <c r="B221" i="1"/>
  <c r="B222" i="1" a="1"/>
  <c r="B222" i="1"/>
  <c r="B223" i="1" a="1"/>
  <c r="B223" i="1"/>
  <c r="B224" i="1" a="1"/>
  <c r="B224" i="1" s="1"/>
  <c r="B225" i="1" a="1"/>
  <c r="B225" i="1" s="1"/>
  <c r="B226" i="1" a="1"/>
  <c r="B226" i="1" s="1"/>
  <c r="B227" i="1" a="1"/>
  <c r="B227" i="1"/>
  <c r="B228" i="1" a="1"/>
  <c r="B228" i="1"/>
  <c r="B229" i="1" a="1"/>
  <c r="B229" i="1"/>
  <c r="B230" i="1" a="1"/>
  <c r="B230" i="1" s="1"/>
  <c r="B231" i="1" a="1"/>
  <c r="B231" i="1" s="1"/>
  <c r="B202" i="1" a="1"/>
  <c r="B202" i="1"/>
  <c r="B203" i="1" a="1"/>
  <c r="B203" i="1" s="1"/>
  <c r="B204" i="1" a="1"/>
  <c r="B204" i="1"/>
  <c r="B205" i="1" a="1"/>
  <c r="B205" i="1"/>
  <c r="B206" i="1" a="1"/>
  <c r="B206" i="1"/>
  <c r="B207" i="1" a="1"/>
  <c r="B207" i="1"/>
  <c r="B208" i="1" a="1"/>
  <c r="B208" i="1"/>
  <c r="B209" i="1" a="1"/>
  <c r="B209" i="1" s="1"/>
  <c r="B210" i="1" a="1"/>
  <c r="B210" i="1"/>
  <c r="B211" i="1" a="1"/>
  <c r="B211" i="1"/>
  <c r="B212" i="1" a="1"/>
  <c r="B212" i="1"/>
  <c r="B213" i="1" a="1"/>
  <c r="B213" i="1"/>
  <c r="B214" i="1" a="1"/>
  <c r="B214" i="1"/>
  <c r="B215" i="1" a="1"/>
  <c r="B215" i="1" s="1"/>
  <c r="B216" i="1" a="1"/>
  <c r="B216" i="1"/>
  <c r="B217" i="1" a="1"/>
  <c r="B217" i="1"/>
  <c r="B186" i="1" a="1"/>
  <c r="B186" i="1" s="1"/>
  <c r="B187" i="1" a="1"/>
  <c r="B187" i="1"/>
  <c r="B188" i="1" a="1"/>
  <c r="B188" i="1" s="1"/>
  <c r="B189" i="1" a="1"/>
  <c r="B189" i="1"/>
  <c r="B190" i="1" a="1"/>
  <c r="B190" i="1"/>
  <c r="B191" i="1" a="1"/>
  <c r="B191" i="1"/>
  <c r="B192" i="1" a="1"/>
  <c r="B192" i="1" s="1"/>
  <c r="B193" i="1" a="1"/>
  <c r="B193" i="1"/>
  <c r="B194" i="1" a="1"/>
  <c r="B194" i="1" s="1"/>
  <c r="B195" i="1" a="1"/>
  <c r="B195" i="1"/>
  <c r="B196" i="1" a="1"/>
  <c r="B196" i="1"/>
  <c r="B197" i="1" a="1"/>
  <c r="B197" i="1"/>
  <c r="B198" i="1" a="1"/>
  <c r="B198" i="1" s="1"/>
  <c r="B199" i="1" a="1"/>
  <c r="B199" i="1"/>
  <c r="B200" i="1" a="1"/>
  <c r="B200" i="1" s="1"/>
  <c r="B201" i="1" a="1"/>
  <c r="B201" i="1"/>
  <c r="B172" i="1" a="1"/>
  <c r="B172" i="1" s="1"/>
  <c r="B173" i="1" a="1"/>
  <c r="B173" i="1" s="1"/>
  <c r="B174" i="1" a="1"/>
  <c r="B174" i="1"/>
  <c r="B175" i="1" a="1"/>
  <c r="B175" i="1"/>
  <c r="B176" i="1" a="1"/>
  <c r="B176" i="1"/>
  <c r="B177" i="1" a="1"/>
  <c r="B177" i="1"/>
  <c r="B178" i="1" a="1"/>
  <c r="B178" i="1" s="1"/>
  <c r="B179" i="1" a="1"/>
  <c r="B179" i="1" s="1"/>
  <c r="B180" i="1" a="1"/>
  <c r="B180" i="1"/>
  <c r="B181" i="1" a="1"/>
  <c r="B181" i="1"/>
  <c r="B182" i="1" a="1"/>
  <c r="B182" i="1"/>
  <c r="B183" i="1" a="1"/>
  <c r="B183" i="1"/>
  <c r="B184" i="1" a="1"/>
  <c r="B184" i="1" s="1"/>
  <c r="B185" i="1" a="1"/>
  <c r="B185" i="1" s="1"/>
  <c r="B159" i="1" a="1"/>
  <c r="B159" i="1"/>
  <c r="B160" i="1" a="1"/>
  <c r="B160" i="1" s="1"/>
  <c r="B161" i="1" a="1"/>
  <c r="B161" i="1"/>
  <c r="B162" i="1" a="1"/>
  <c r="B162" i="1"/>
  <c r="B163" i="1" a="1"/>
  <c r="B163" i="1"/>
  <c r="B164" i="1" a="1"/>
  <c r="B164" i="1"/>
  <c r="B165" i="1" a="1"/>
  <c r="B165" i="1"/>
  <c r="B166" i="1" a="1"/>
  <c r="B166" i="1" s="1"/>
  <c r="B167" i="1" a="1"/>
  <c r="B167" i="1"/>
  <c r="B168" i="1" a="1"/>
  <c r="B168" i="1"/>
  <c r="B169" i="1" a="1"/>
  <c r="B169" i="1"/>
  <c r="B170" i="1" a="1"/>
  <c r="B170" i="1" s="1"/>
  <c r="B171" i="1" a="1"/>
  <c r="B171" i="1"/>
  <c r="B142" i="1" a="1"/>
  <c r="B142" i="1" s="1"/>
  <c r="B143" i="1" a="1"/>
  <c r="B143" i="1" s="1"/>
  <c r="B144" i="1" a="1"/>
  <c r="B144" i="1"/>
  <c r="B145" i="1" a="1"/>
  <c r="B145" i="1"/>
  <c r="B146" i="1" a="1"/>
  <c r="B146" i="1"/>
  <c r="B147" i="1" a="1"/>
  <c r="B147" i="1"/>
  <c r="B148" i="1" a="1"/>
  <c r="B148" i="1" s="1"/>
  <c r="B149" i="1" a="1"/>
  <c r="B149" i="1" s="1"/>
  <c r="B150" i="1" a="1"/>
  <c r="B150" i="1"/>
  <c r="B151" i="1" a="1"/>
  <c r="B151" i="1"/>
  <c r="B152" i="1" a="1"/>
  <c r="B152" i="1"/>
  <c r="B153" i="1" a="1"/>
  <c r="B153" i="1"/>
  <c r="B154" i="1" a="1"/>
  <c r="B154" i="1" s="1"/>
  <c r="B155" i="1" a="1"/>
  <c r="B155" i="1" s="1"/>
  <c r="B156" i="1" a="1"/>
  <c r="B156" i="1"/>
  <c r="B157" i="1" a="1"/>
  <c r="B157" i="1"/>
  <c r="B158" i="1" a="1"/>
  <c r="B158" i="1"/>
  <c r="B122" i="1" a="1"/>
  <c r="B122" i="1" s="1"/>
  <c r="B123" i="1" a="1"/>
  <c r="B123" i="1" s="1"/>
  <c r="B124" i="1" a="1"/>
  <c r="B124" i="1" s="1"/>
  <c r="B125" i="1" a="1"/>
  <c r="B125" i="1"/>
  <c r="B126" i="1" a="1"/>
  <c r="B126" i="1"/>
  <c r="B127" i="1" a="1"/>
  <c r="B127" i="1"/>
  <c r="B128" i="1" a="1"/>
  <c r="B128" i="1" s="1"/>
  <c r="B129" i="1" a="1"/>
  <c r="B129" i="1" s="1"/>
  <c r="B130" i="1" a="1"/>
  <c r="B130" i="1" s="1"/>
  <c r="B131" i="1" a="1"/>
  <c r="B131" i="1"/>
  <c r="B132" i="1" a="1"/>
  <c r="B132" i="1"/>
  <c r="B133" i="1" a="1"/>
  <c r="B133" i="1"/>
  <c r="B134" i="1" a="1"/>
  <c r="B134" i="1" s="1"/>
  <c r="B135" i="1" a="1"/>
  <c r="B135" i="1" s="1"/>
  <c r="B136" i="1" a="1"/>
  <c r="B136" i="1" s="1"/>
  <c r="B137" i="1" a="1"/>
  <c r="B137" i="1"/>
  <c r="B138" i="1" a="1"/>
  <c r="B138" i="1"/>
  <c r="B139" i="1" a="1"/>
  <c r="B139" i="1"/>
  <c r="B140" i="1" a="1"/>
  <c r="B140" i="1" s="1"/>
  <c r="B141" i="1" a="1"/>
  <c r="B141" i="1" s="1"/>
  <c r="B111" i="1" a="1"/>
  <c r="B111" i="1" s="1"/>
  <c r="B112" i="1" a="1"/>
  <c r="B112" i="1" s="1"/>
  <c r="B113" i="1" a="1"/>
  <c r="B113" i="1"/>
  <c r="B114" i="1" a="1"/>
  <c r="B114" i="1"/>
  <c r="B115" i="1" a="1"/>
  <c r="B115" i="1"/>
  <c r="B116" i="1" a="1"/>
  <c r="B116" i="1"/>
  <c r="B117" i="1" a="1"/>
  <c r="B117" i="1" s="1"/>
  <c r="B118" i="1" a="1"/>
  <c r="B118" i="1" s="1"/>
  <c r="B119" i="1" a="1"/>
  <c r="B119" i="1"/>
  <c r="B120" i="1" a="1"/>
  <c r="B120" i="1"/>
  <c r="B121" i="1" a="1"/>
  <c r="B121" i="1"/>
  <c r="B99" i="1" a="1"/>
  <c r="B99" i="1"/>
  <c r="B100" i="1" a="1"/>
  <c r="B100" i="1"/>
  <c r="B101" i="1" a="1"/>
  <c r="B101" i="1" s="1"/>
  <c r="B102" i="1" a="1"/>
  <c r="B102" i="1"/>
  <c r="B103" i="1" a="1"/>
  <c r="B103" i="1"/>
  <c r="B104" i="1" a="1"/>
  <c r="B104" i="1"/>
  <c r="B105" i="1" a="1"/>
  <c r="B105" i="1"/>
  <c r="B106" i="1" a="1"/>
  <c r="B106" i="1"/>
  <c r="B107" i="1" a="1"/>
  <c r="B107" i="1" s="1"/>
  <c r="B108" i="1" a="1"/>
  <c r="B108" i="1"/>
  <c r="B109" i="1" a="1"/>
  <c r="B109" i="1"/>
  <c r="B110" i="1" a="1"/>
  <c r="B110" i="1"/>
  <c r="B89" i="1" a="1"/>
  <c r="B89" i="1" s="1"/>
  <c r="B90" i="1" a="1"/>
  <c r="B90" i="1"/>
  <c r="B91" i="1" a="1"/>
  <c r="B91" i="1"/>
  <c r="B92" i="1" a="1"/>
  <c r="B92" i="1"/>
  <c r="B93" i="1" a="1"/>
  <c r="B93" i="1"/>
  <c r="B94" i="1" a="1"/>
  <c r="B94" i="1"/>
  <c r="B95" i="1" a="1"/>
  <c r="B95" i="1" s="1"/>
  <c r="B96" i="1" a="1"/>
  <c r="B96" i="1"/>
  <c r="B97" i="1" a="1"/>
  <c r="B97" i="1"/>
  <c r="B98" i="1" a="1"/>
  <c r="B98" i="1"/>
  <c r="B77" i="1" a="1"/>
  <c r="B77" i="1" s="1"/>
  <c r="B78" i="1" a="1"/>
  <c r="B78" i="1"/>
  <c r="B79" i="1" a="1"/>
  <c r="B79" i="1" s="1"/>
  <c r="B80" i="1" a="1"/>
  <c r="B80" i="1"/>
  <c r="B81" i="1" a="1"/>
  <c r="B81" i="1"/>
  <c r="B82" i="1" a="1"/>
  <c r="B82" i="1"/>
  <c r="B83" i="1" a="1"/>
  <c r="B83" i="1" s="1"/>
  <c r="B84" i="1" a="1"/>
  <c r="B84" i="1"/>
  <c r="B85" i="1" a="1"/>
  <c r="B85" i="1" s="1"/>
  <c r="B86" i="1" a="1"/>
  <c r="B86" i="1"/>
  <c r="B87" i="1" a="1"/>
  <c r="B87" i="1"/>
  <c r="B88" i="1" a="1"/>
  <c r="B88" i="1"/>
  <c r="B60" i="1" a="1"/>
  <c r="B60" i="1" s="1"/>
  <c r="B61" i="1" a="1"/>
  <c r="B61" i="1"/>
  <c r="B62" i="1" a="1"/>
  <c r="B62" i="1"/>
  <c r="B63" i="1" a="1"/>
  <c r="B63" i="1"/>
  <c r="B64" i="1" a="1"/>
  <c r="B64" i="1"/>
  <c r="B65" i="1" a="1"/>
  <c r="B65" i="1"/>
  <c r="B66" i="1" a="1"/>
  <c r="B66" i="1" s="1"/>
  <c r="B67" i="1" a="1"/>
  <c r="B67" i="1"/>
  <c r="B68" i="1" a="1"/>
  <c r="B68" i="1"/>
  <c r="B69" i="1" a="1"/>
  <c r="B69" i="1"/>
  <c r="B70" i="1" a="1"/>
  <c r="B70" i="1"/>
  <c r="B71" i="1" a="1"/>
  <c r="B71" i="1"/>
  <c r="B72" i="1" a="1"/>
  <c r="B72" i="1" s="1"/>
  <c r="B73" i="1" a="1"/>
  <c r="B73" i="1"/>
  <c r="B74" i="1" a="1"/>
  <c r="B74" i="1"/>
  <c r="B75" i="1" a="1"/>
  <c r="B75" i="1" s="1"/>
  <c r="B76" i="1" a="1"/>
  <c r="B76" i="1"/>
  <c r="B47" i="1" a="1"/>
  <c r="B47" i="1" s="1"/>
  <c r="B48" i="1" a="1"/>
  <c r="B48" i="1"/>
  <c r="F48" i="1" s="1"/>
  <c r="B49" i="1" a="1"/>
  <c r="B49" i="1"/>
  <c r="D49" i="1" s="1"/>
  <c r="E49" i="1" s="1"/>
  <c r="B50" i="1" a="1"/>
  <c r="B50" i="1"/>
  <c r="D50" i="1" s="1"/>
  <c r="E50" i="1" s="1"/>
  <c r="B51" i="1" a="1"/>
  <c r="B51" i="1"/>
  <c r="G51" i="1" s="1"/>
  <c r="H51" i="1" s="1"/>
  <c r="B52" i="1" a="1"/>
  <c r="B52" i="1"/>
  <c r="G52" i="1" s="1"/>
  <c r="H52" i="1" s="1"/>
  <c r="B53" i="1" a="1"/>
  <c r="B53" i="1" s="1"/>
  <c r="B54" i="1" a="1"/>
  <c r="B54" i="1"/>
  <c r="B55" i="1" a="1"/>
  <c r="B55" i="1"/>
  <c r="B56" i="1" a="1"/>
  <c r="B56" i="1"/>
  <c r="B57" i="1" a="1"/>
  <c r="B57" i="1"/>
  <c r="B58" i="1" a="1"/>
  <c r="B58" i="1"/>
  <c r="B59" i="1" a="1"/>
  <c r="B59" i="1" s="1"/>
  <c r="B35" i="1" a="1"/>
  <c r="B35" i="1"/>
  <c r="B36" i="1" a="1"/>
  <c r="B36" i="1" s="1"/>
  <c r="B37" i="1" a="1"/>
  <c r="B37" i="1" s="1"/>
  <c r="B38" i="1" a="1"/>
  <c r="B38" i="1"/>
  <c r="B39" i="1" a="1"/>
  <c r="B39" i="1"/>
  <c r="D39" i="1" s="1"/>
  <c r="E39" i="1" s="1"/>
  <c r="B40" i="1" a="1"/>
  <c r="B40" i="1"/>
  <c r="G40" i="1" s="1"/>
  <c r="H40" i="1" s="1"/>
  <c r="B41" i="1" a="1"/>
  <c r="B41" i="1"/>
  <c r="D41" i="1" s="1"/>
  <c r="E41" i="1" s="1"/>
  <c r="B42" i="1" a="1"/>
  <c r="B42" i="1" s="1"/>
  <c r="B43" i="1" a="1"/>
  <c r="B43" i="1" s="1"/>
  <c r="B44" i="1" a="1"/>
  <c r="B44" i="1"/>
  <c r="G44" i="1" s="1"/>
  <c r="H44" i="1" s="1"/>
  <c r="B45" i="1" a="1"/>
  <c r="B45" i="1"/>
  <c r="G45" i="1" s="1"/>
  <c r="H45" i="1" s="1"/>
  <c r="B46" i="1" a="1"/>
  <c r="B46" i="1"/>
  <c r="G46" i="1" s="1"/>
  <c r="H46" i="1" s="1"/>
  <c r="B19" i="1" a="1"/>
  <c r="B19" i="1" s="1"/>
  <c r="B20" i="1" a="1"/>
  <c r="B20" i="1" s="1"/>
  <c r="B21" i="1" a="1"/>
  <c r="B21" i="1"/>
  <c r="B22" i="1" a="1"/>
  <c r="B22" i="1"/>
  <c r="B23" i="1" a="1"/>
  <c r="B23" i="1"/>
  <c r="D23" i="1" s="1"/>
  <c r="E23" i="1" s="1"/>
  <c r="B24" i="1" a="1"/>
  <c r="B24" i="1"/>
  <c r="G24" i="1" s="1"/>
  <c r="H24" i="1" s="1"/>
  <c r="B25" i="1" a="1"/>
  <c r="B25" i="1" s="1"/>
  <c r="B26" i="1" a="1"/>
  <c r="B26" i="1" s="1"/>
  <c r="B27" i="1" a="1"/>
  <c r="B27" i="1"/>
  <c r="B28" i="1" a="1"/>
  <c r="B28" i="1"/>
  <c r="G28" i="1" s="1"/>
  <c r="H28" i="1" s="1"/>
  <c r="B29" i="1" a="1"/>
  <c r="B29" i="1"/>
  <c r="D29" i="1" s="1"/>
  <c r="E29" i="1" s="1"/>
  <c r="B30" i="1" a="1"/>
  <c r="B30" i="1"/>
  <c r="D30" i="1" s="1"/>
  <c r="E30" i="1" s="1"/>
  <c r="B31" i="1" a="1"/>
  <c r="B31" i="1" s="1"/>
  <c r="B32" i="1" a="1"/>
  <c r="B32" i="1" s="1"/>
  <c r="B33" i="1" a="1"/>
  <c r="B33" i="1"/>
  <c r="B34" i="1" a="1"/>
  <c r="B34" i="1"/>
  <c r="B6" i="1" a="1"/>
  <c r="B6" i="1" s="1"/>
  <c r="B7" i="1" a="1"/>
  <c r="B7" i="1"/>
  <c r="B8" i="1" a="1"/>
  <c r="B8" i="1" s="1"/>
  <c r="B9" i="1" a="1"/>
  <c r="B9" i="1"/>
  <c r="F9" i="1" s="1"/>
  <c r="B10" i="1" a="1"/>
  <c r="B10" i="1"/>
  <c r="G10" i="1" s="1"/>
  <c r="H10" i="1" s="1"/>
  <c r="B11" i="1" a="1"/>
  <c r="B11" i="1"/>
  <c r="F11" i="1" s="1"/>
  <c r="B12" i="1" a="1"/>
  <c r="B12" i="1" s="1"/>
  <c r="B13" i="1" a="1"/>
  <c r="B13" i="1"/>
  <c r="G13" i="1" s="1"/>
  <c r="H13" i="1" s="1"/>
  <c r="B14" i="1" a="1"/>
  <c r="B14" i="1"/>
  <c r="B15" i="1" a="1"/>
  <c r="B15" i="1"/>
  <c r="F15" i="1" s="1"/>
  <c r="B16" i="1" a="1"/>
  <c r="B16" i="1"/>
  <c r="D16" i="1" s="1"/>
  <c r="E16" i="1" s="1"/>
  <c r="B17" i="1" a="1"/>
  <c r="B17" i="1"/>
  <c r="F17" i="1" s="1"/>
  <c r="B18" i="1" a="1"/>
  <c r="B18" i="1" s="1"/>
  <c r="B5" i="1" a="1"/>
  <c r="B5" i="1" s="1"/>
  <c r="I53" i="1"/>
  <c r="J53" i="1" s="1"/>
  <c r="I54" i="1"/>
  <c r="J54" i="1" s="1"/>
  <c r="I40" i="1"/>
  <c r="J40" i="1" s="1"/>
  <c r="I41" i="1"/>
  <c r="J41" i="1" s="1"/>
  <c r="I42" i="1"/>
  <c r="J42" i="1" s="1"/>
  <c r="I43" i="1"/>
  <c r="J43" i="1" s="1"/>
  <c r="I44" i="1"/>
  <c r="J44" i="1" s="1"/>
  <c r="I52" i="1"/>
  <c r="J52" i="1" s="1"/>
  <c r="I29" i="1"/>
  <c r="J29" i="1" s="1"/>
  <c r="I30" i="1"/>
  <c r="J30" i="1" s="1"/>
  <c r="I31" i="1"/>
  <c r="J31" i="1" s="1"/>
  <c r="I32" i="1"/>
  <c r="J32" i="1" s="1"/>
  <c r="I33" i="1"/>
  <c r="J33" i="1" s="1"/>
  <c r="I39" i="1"/>
  <c r="J39" i="1" s="1"/>
  <c r="I6" i="1"/>
  <c r="J6" i="1" s="1"/>
  <c r="I7" i="1"/>
  <c r="J7" i="1" s="1"/>
  <c r="I8" i="1"/>
  <c r="J8" i="1" s="1"/>
  <c r="I10" i="1"/>
  <c r="J10" i="1" s="1"/>
  <c r="I18" i="1"/>
  <c r="J18" i="1" s="1"/>
  <c r="I19" i="1"/>
  <c r="J19" i="1" s="1"/>
  <c r="I20" i="1"/>
  <c r="J20" i="1" s="1"/>
  <c r="I22" i="1"/>
  <c r="J22" i="1" s="1"/>
  <c r="G54" i="1"/>
  <c r="H54" i="1" s="1"/>
  <c r="G41" i="1"/>
  <c r="H41" i="1" s="1"/>
  <c r="G48" i="1"/>
  <c r="H48" i="1" s="1"/>
  <c r="G49" i="1"/>
  <c r="H49" i="1" s="1"/>
  <c r="G50" i="1"/>
  <c r="H50" i="1" s="1"/>
  <c r="G27" i="1"/>
  <c r="H27" i="1" s="1"/>
  <c r="G33" i="1"/>
  <c r="H33" i="1" s="1"/>
  <c r="G34" i="1"/>
  <c r="H34" i="1" s="1"/>
  <c r="G35" i="1"/>
  <c r="H35" i="1" s="1"/>
  <c r="G38" i="1"/>
  <c r="H38" i="1" s="1"/>
  <c r="G7" i="1"/>
  <c r="H7" i="1" s="1"/>
  <c r="G14" i="1"/>
  <c r="H14" i="1" s="1"/>
  <c r="G15" i="1"/>
  <c r="H15" i="1" s="1"/>
  <c r="G21" i="1"/>
  <c r="H21" i="1" s="1"/>
  <c r="G22" i="1"/>
  <c r="H22" i="1" s="1"/>
  <c r="G23" i="1"/>
  <c r="H23" i="1" s="1"/>
  <c r="F38" i="1"/>
  <c r="F39" i="1"/>
  <c r="F41" i="1"/>
  <c r="F54" i="1"/>
  <c r="F33" i="1"/>
  <c r="F34" i="1"/>
  <c r="F35" i="1"/>
  <c r="F7" i="1"/>
  <c r="F13" i="1"/>
  <c r="F14" i="1"/>
  <c r="F21" i="1"/>
  <c r="F22" i="1"/>
  <c r="F23" i="1"/>
  <c r="F24" i="1"/>
  <c r="F27" i="1"/>
  <c r="D38" i="1"/>
  <c r="E38" i="1" s="1"/>
  <c r="D44" i="1"/>
  <c r="E44" i="1" s="1"/>
  <c r="D45" i="1"/>
  <c r="E45" i="1" s="1"/>
  <c r="D48" i="1"/>
  <c r="E48" i="1" s="1"/>
  <c r="D54" i="1"/>
  <c r="E54" i="1" s="1"/>
  <c r="D27" i="1"/>
  <c r="E27" i="1" s="1"/>
  <c r="D28" i="1"/>
  <c r="E28" i="1" s="1"/>
  <c r="D33" i="1"/>
  <c r="E33" i="1" s="1"/>
  <c r="D34" i="1"/>
  <c r="D35" i="1"/>
  <c r="E35" i="1" s="1"/>
  <c r="D21" i="1"/>
  <c r="E21" i="1" s="1"/>
  <c r="D22" i="1"/>
  <c r="E22" i="1" s="1"/>
  <c r="D7" i="1"/>
  <c r="D13" i="1"/>
  <c r="D14" i="1"/>
  <c r="D15" i="1"/>
  <c r="M247" i="1" l="1"/>
  <c r="M235" i="1"/>
  <c r="M248" i="1"/>
  <c r="M246" i="1"/>
  <c r="M234" i="1"/>
  <c r="M222" i="1"/>
  <c r="M249" i="1"/>
  <c r="M245" i="1"/>
  <c r="M244" i="1"/>
  <c r="M196" i="1"/>
  <c r="M237" i="1"/>
  <c r="M236" i="1"/>
  <c r="M254" i="1"/>
  <c r="M232" i="1"/>
  <c r="M209" i="1"/>
  <c r="M221" i="1"/>
  <c r="M220" i="1"/>
  <c r="M251" i="1"/>
  <c r="M239" i="1"/>
  <c r="M233" i="1"/>
  <c r="M208" i="1"/>
  <c r="M250" i="1"/>
  <c r="M238" i="1"/>
  <c r="M207" i="1"/>
  <c r="M183" i="1"/>
  <c r="M242" i="1"/>
  <c r="M229" i="1"/>
  <c r="M252" i="1"/>
  <c r="M240" i="1"/>
  <c r="M204" i="1"/>
  <c r="M192" i="1"/>
  <c r="M144" i="1"/>
  <c r="M132" i="1"/>
  <c r="M120" i="1"/>
  <c r="M108" i="1"/>
  <c r="M171" i="1"/>
  <c r="M206" i="1"/>
  <c r="M253" i="1"/>
  <c r="M203" i="1"/>
  <c r="M191" i="1"/>
  <c r="M230" i="1"/>
  <c r="M231" i="1"/>
  <c r="M218" i="1"/>
  <c r="M225" i="1"/>
  <c r="M213" i="1"/>
  <c r="M243" i="1"/>
  <c r="M219" i="1"/>
  <c r="M195" i="1"/>
  <c r="M194" i="1"/>
  <c r="M241" i="1"/>
  <c r="M217" i="1"/>
  <c r="M228" i="1"/>
  <c r="M202" i="1"/>
  <c r="M190" i="1"/>
  <c r="M178" i="1"/>
  <c r="M223" i="1"/>
  <c r="M201" i="1"/>
  <c r="M189" i="1"/>
  <c r="M177" i="1"/>
  <c r="M212" i="1"/>
  <c r="M200" i="1"/>
  <c r="M188" i="1"/>
  <c r="M175" i="1"/>
  <c r="M199" i="1"/>
  <c r="M210" i="1"/>
  <c r="M198" i="1"/>
  <c r="M150" i="1"/>
  <c r="M224" i="1"/>
  <c r="M197" i="1"/>
  <c r="M185" i="1"/>
  <c r="M149" i="1"/>
  <c r="M216" i="1"/>
  <c r="M227" i="1"/>
  <c r="M215" i="1"/>
  <c r="M211" i="1"/>
  <c r="M226" i="1"/>
  <c r="M214" i="1"/>
  <c r="M205" i="1"/>
  <c r="M193" i="1"/>
  <c r="M153" i="1"/>
  <c r="M179" i="1"/>
  <c r="M167" i="1"/>
  <c r="M143" i="1"/>
  <c r="M131" i="1"/>
  <c r="M119" i="1"/>
  <c r="M107" i="1"/>
  <c r="M181" i="1"/>
  <c r="M180" i="1"/>
  <c r="M142" i="1"/>
  <c r="M118" i="1"/>
  <c r="M165" i="1"/>
  <c r="M169" i="1"/>
  <c r="M168" i="1"/>
  <c r="M130" i="1"/>
  <c r="M157" i="1"/>
  <c r="M154" i="1"/>
  <c r="M187" i="1"/>
  <c r="M172" i="1"/>
  <c r="M161" i="1"/>
  <c r="M176" i="1"/>
  <c r="M174" i="1"/>
  <c r="M173" i="1"/>
  <c r="M184" i="1"/>
  <c r="M160" i="1"/>
  <c r="M124" i="1"/>
  <c r="M182" i="1"/>
  <c r="M170" i="1"/>
  <c r="M159" i="1"/>
  <c r="M147" i="1"/>
  <c r="M135" i="1"/>
  <c r="M123" i="1"/>
  <c r="M111" i="1"/>
  <c r="M186" i="1"/>
  <c r="M148" i="1"/>
  <c r="M158" i="1"/>
  <c r="M146" i="1"/>
  <c r="M134" i="1"/>
  <c r="M122" i="1"/>
  <c r="M110" i="1"/>
  <c r="M162" i="1"/>
  <c r="M136" i="1"/>
  <c r="M145" i="1"/>
  <c r="M133" i="1"/>
  <c r="M121" i="1"/>
  <c r="M109" i="1"/>
  <c r="M166" i="1"/>
  <c r="M164" i="1"/>
  <c r="M141" i="1"/>
  <c r="M129" i="1"/>
  <c r="M117" i="1"/>
  <c r="M105" i="1"/>
  <c r="M156" i="1"/>
  <c r="M155" i="1"/>
  <c r="M152" i="1"/>
  <c r="M163" i="1"/>
  <c r="M151" i="1"/>
  <c r="M140" i="1"/>
  <c r="M128" i="1"/>
  <c r="M139" i="1"/>
  <c r="M127" i="1"/>
  <c r="M138" i="1"/>
  <c r="M126" i="1"/>
  <c r="M137" i="1"/>
  <c r="M125" i="1"/>
  <c r="M116" i="1"/>
  <c r="M115" i="1"/>
  <c r="M114" i="1"/>
  <c r="M113" i="1"/>
  <c r="M112" i="1"/>
  <c r="M106" i="1"/>
  <c r="M101" i="1"/>
  <c r="M100" i="1"/>
  <c r="M88" i="1"/>
  <c r="M99" i="1"/>
  <c r="M87" i="1"/>
  <c r="M104" i="1"/>
  <c r="M103" i="1"/>
  <c r="M102" i="1"/>
  <c r="M98" i="1"/>
  <c r="M86" i="1"/>
  <c r="M97" i="1"/>
  <c r="M73" i="1"/>
  <c r="M61" i="1"/>
  <c r="L244" i="1"/>
  <c r="M96" i="1"/>
  <c r="M84" i="1"/>
  <c r="M72" i="1"/>
  <c r="M60" i="1"/>
  <c r="M85" i="1"/>
  <c r="M95" i="1"/>
  <c r="M83" i="1"/>
  <c r="M94" i="1"/>
  <c r="M82" i="1"/>
  <c r="M93" i="1"/>
  <c r="M81" i="1"/>
  <c r="L252" i="1"/>
  <c r="L240" i="1"/>
  <c r="L228" i="1"/>
  <c r="M92" i="1"/>
  <c r="M80" i="1"/>
  <c r="M91" i="1"/>
  <c r="M79" i="1"/>
  <c r="M67" i="1"/>
  <c r="M55" i="1"/>
  <c r="M78" i="1"/>
  <c r="M66" i="1"/>
  <c r="M89" i="1"/>
  <c r="M90" i="1"/>
  <c r="M71" i="1"/>
  <c r="M59" i="1"/>
  <c r="L253" i="1"/>
  <c r="L241" i="1"/>
  <c r="L229" i="1"/>
  <c r="L217" i="1"/>
  <c r="M69" i="1"/>
  <c r="M57" i="1"/>
  <c r="L216" i="1"/>
  <c r="M68" i="1"/>
  <c r="M56" i="1"/>
  <c r="L248" i="1"/>
  <c r="L236" i="1"/>
  <c r="M77" i="1"/>
  <c r="M76" i="1"/>
  <c r="M74" i="1"/>
  <c r="L247" i="1"/>
  <c r="L235" i="1"/>
  <c r="M75" i="1"/>
  <c r="M62" i="1"/>
  <c r="L246" i="1"/>
  <c r="L234" i="1"/>
  <c r="L222" i="1"/>
  <c r="M65" i="1"/>
  <c r="M64" i="1"/>
  <c r="M63" i="1"/>
  <c r="L245" i="1"/>
  <c r="L233" i="1"/>
  <c r="M70" i="1"/>
  <c r="M58" i="1"/>
  <c r="L237" i="1"/>
  <c r="L251" i="1"/>
  <c r="L239" i="1"/>
  <c r="L249" i="1"/>
  <c r="L243" i="1"/>
  <c r="L254" i="1"/>
  <c r="L242" i="1"/>
  <c r="L230" i="1"/>
  <c r="L218" i="1"/>
  <c r="L250" i="1"/>
  <c r="L238" i="1"/>
  <c r="L223" i="1"/>
  <c r="L226" i="1"/>
  <c r="L214" i="1"/>
  <c r="L225" i="1"/>
  <c r="L213" i="1"/>
  <c r="L221" i="1"/>
  <c r="L224" i="1"/>
  <c r="L212" i="1"/>
  <c r="L232" i="1"/>
  <c r="L220" i="1"/>
  <c r="L200" i="1"/>
  <c r="L211" i="1"/>
  <c r="L199" i="1"/>
  <c r="L231" i="1"/>
  <c r="L219" i="1"/>
  <c r="L207" i="1"/>
  <c r="L195" i="1"/>
  <c r="L183" i="1"/>
  <c r="L171" i="1"/>
  <c r="L203" i="1"/>
  <c r="L206" i="1"/>
  <c r="L194" i="1"/>
  <c r="L182" i="1"/>
  <c r="L202" i="1"/>
  <c r="L193" i="1"/>
  <c r="L204" i="1"/>
  <c r="L192" i="1"/>
  <c r="L180" i="1"/>
  <c r="L181" i="1"/>
  <c r="L201" i="1"/>
  <c r="L215" i="1"/>
  <c r="L205" i="1"/>
  <c r="L227" i="1"/>
  <c r="L187" i="1"/>
  <c r="L175" i="1"/>
  <c r="L163" i="1"/>
  <c r="L151" i="1"/>
  <c r="L186" i="1"/>
  <c r="L174" i="1"/>
  <c r="L162" i="1"/>
  <c r="L150" i="1"/>
  <c r="L170" i="1"/>
  <c r="L158" i="1"/>
  <c r="L185" i="1"/>
  <c r="L173" i="1"/>
  <c r="L161" i="1"/>
  <c r="L149" i="1"/>
  <c r="L169" i="1"/>
  <c r="L157" i="1"/>
  <c r="L184" i="1"/>
  <c r="L172" i="1"/>
  <c r="L160" i="1"/>
  <c r="L64" i="1"/>
  <c r="L168" i="1"/>
  <c r="L156" i="1"/>
  <c r="L210" i="1"/>
  <c r="L191" i="1"/>
  <c r="L179" i="1"/>
  <c r="L208" i="1"/>
  <c r="L190" i="1"/>
  <c r="L178" i="1"/>
  <c r="L198" i="1"/>
  <c r="L197" i="1"/>
  <c r="L196" i="1"/>
  <c r="L189" i="1"/>
  <c r="L177" i="1"/>
  <c r="L209" i="1"/>
  <c r="L188" i="1"/>
  <c r="L176" i="1"/>
  <c r="L159" i="1"/>
  <c r="L147" i="1"/>
  <c r="L135" i="1"/>
  <c r="L123" i="1"/>
  <c r="L111" i="1"/>
  <c r="L99" i="1"/>
  <c r="L87" i="1"/>
  <c r="L167" i="1"/>
  <c r="L155" i="1"/>
  <c r="L146" i="1"/>
  <c r="L134" i="1"/>
  <c r="L122" i="1"/>
  <c r="L110" i="1"/>
  <c r="L98" i="1"/>
  <c r="L86" i="1"/>
  <c r="L94" i="1"/>
  <c r="L154" i="1"/>
  <c r="L165" i="1"/>
  <c r="L153" i="1"/>
  <c r="L166" i="1"/>
  <c r="L164" i="1"/>
  <c r="L152" i="1"/>
  <c r="L116" i="1"/>
  <c r="L141" i="1"/>
  <c r="L129" i="1"/>
  <c r="L140" i="1"/>
  <c r="L128" i="1"/>
  <c r="L127" i="1"/>
  <c r="L126" i="1"/>
  <c r="L145" i="1"/>
  <c r="L109" i="1"/>
  <c r="L144" i="1"/>
  <c r="L132" i="1"/>
  <c r="L120" i="1"/>
  <c r="L108" i="1"/>
  <c r="L133" i="1"/>
  <c r="L143" i="1"/>
  <c r="L131" i="1"/>
  <c r="L121" i="1"/>
  <c r="L142" i="1"/>
  <c r="L130" i="1"/>
  <c r="L137" i="1"/>
  <c r="L139" i="1"/>
  <c r="L138" i="1"/>
  <c r="L148" i="1"/>
  <c r="L119" i="1"/>
  <c r="L105" i="1"/>
  <c r="L115" i="1"/>
  <c r="L136" i="1"/>
  <c r="L118" i="1"/>
  <c r="L107" i="1"/>
  <c r="L125" i="1"/>
  <c r="L113" i="1"/>
  <c r="L77" i="1"/>
  <c r="L65" i="1"/>
  <c r="L114" i="1"/>
  <c r="L106" i="1"/>
  <c r="L117" i="1"/>
  <c r="L124" i="1"/>
  <c r="L112" i="1"/>
  <c r="L76" i="1"/>
  <c r="L92" i="1"/>
  <c r="L95" i="1"/>
  <c r="L83" i="1"/>
  <c r="L71" i="1"/>
  <c r="L59" i="1"/>
  <c r="K247" i="1"/>
  <c r="N247" i="1" s="1"/>
  <c r="L103" i="1"/>
  <c r="L91" i="1"/>
  <c r="L85" i="1"/>
  <c r="L84" i="1"/>
  <c r="L104" i="1"/>
  <c r="L102" i="1"/>
  <c r="L90" i="1"/>
  <c r="L96" i="1"/>
  <c r="L101" i="1"/>
  <c r="L89" i="1"/>
  <c r="L100" i="1"/>
  <c r="L88" i="1"/>
  <c r="L97" i="1"/>
  <c r="L93" i="1"/>
  <c r="L78" i="1"/>
  <c r="L66" i="1"/>
  <c r="L82" i="1"/>
  <c r="L69" i="1"/>
  <c r="K220" i="1"/>
  <c r="N220" i="1" s="1"/>
  <c r="L67" i="1"/>
  <c r="L70" i="1"/>
  <c r="L81" i="1"/>
  <c r="K245" i="1"/>
  <c r="L80" i="1"/>
  <c r="K244" i="1"/>
  <c r="L79" i="1"/>
  <c r="L55" i="1"/>
  <c r="K246" i="1"/>
  <c r="L57" i="1"/>
  <c r="L68" i="1"/>
  <c r="L58" i="1"/>
  <c r="L56" i="1"/>
  <c r="K232" i="1"/>
  <c r="L75" i="1"/>
  <c r="K243" i="1"/>
  <c r="L74" i="1"/>
  <c r="K242" i="1"/>
  <c r="L73" i="1"/>
  <c r="L61" i="1"/>
  <c r="K253" i="1"/>
  <c r="K241" i="1"/>
  <c r="K229" i="1"/>
  <c r="N229" i="1" s="1"/>
  <c r="K217" i="1"/>
  <c r="N217" i="1" s="1"/>
  <c r="K205" i="1"/>
  <c r="K193" i="1"/>
  <c r="N193" i="1" s="1"/>
  <c r="K181" i="1"/>
  <c r="K169" i="1"/>
  <c r="L72" i="1"/>
  <c r="L60" i="1"/>
  <c r="K252" i="1"/>
  <c r="K240" i="1"/>
  <c r="K238" i="1"/>
  <c r="N238" i="1" s="1"/>
  <c r="K249" i="1"/>
  <c r="N249" i="1" s="1"/>
  <c r="K237" i="1"/>
  <c r="L63" i="1"/>
  <c r="K231" i="1"/>
  <c r="L62" i="1"/>
  <c r="K254" i="1"/>
  <c r="K230" i="1"/>
  <c r="K251" i="1"/>
  <c r="N251" i="1" s="1"/>
  <c r="K239" i="1"/>
  <c r="K250" i="1"/>
  <c r="K248" i="1"/>
  <c r="N248" i="1" s="1"/>
  <c r="K236" i="1"/>
  <c r="N236" i="1" s="1"/>
  <c r="K198" i="1"/>
  <c r="K225" i="1"/>
  <c r="K224" i="1"/>
  <c r="K212" i="1"/>
  <c r="K211" i="1"/>
  <c r="N211" i="1" s="1"/>
  <c r="K223" i="1"/>
  <c r="K234" i="1"/>
  <c r="K222" i="1"/>
  <c r="K210" i="1"/>
  <c r="K235" i="1"/>
  <c r="K233" i="1"/>
  <c r="K221" i="1"/>
  <c r="N221" i="1" s="1"/>
  <c r="K209" i="1"/>
  <c r="N209" i="1" s="1"/>
  <c r="K203" i="1"/>
  <c r="K179" i="1"/>
  <c r="N179" i="1" s="1"/>
  <c r="K219" i="1"/>
  <c r="K226" i="1"/>
  <c r="K214" i="1"/>
  <c r="K202" i="1"/>
  <c r="K178" i="1"/>
  <c r="K166" i="1"/>
  <c r="N166" i="1" s="1"/>
  <c r="K218" i="1"/>
  <c r="K206" i="1"/>
  <c r="K216" i="1"/>
  <c r="K215" i="1"/>
  <c r="N215" i="1" s="1"/>
  <c r="K167" i="1"/>
  <c r="N167" i="1" s="1"/>
  <c r="K207" i="1"/>
  <c r="K213" i="1"/>
  <c r="N213" i="1" s="1"/>
  <c r="K201" i="1"/>
  <c r="K228" i="1"/>
  <c r="K204" i="1"/>
  <c r="N204" i="1" s="1"/>
  <c r="K168" i="1"/>
  <c r="K190" i="1"/>
  <c r="K192" i="1"/>
  <c r="K199" i="1"/>
  <c r="N199" i="1" s="1"/>
  <c r="K191" i="1"/>
  <c r="K180" i="1"/>
  <c r="K208" i="1"/>
  <c r="K227" i="1"/>
  <c r="K187" i="1"/>
  <c r="K200" i="1"/>
  <c r="K186" i="1"/>
  <c r="N186" i="1" s="1"/>
  <c r="K197" i="1"/>
  <c r="N197" i="1" s="1"/>
  <c r="K189" i="1"/>
  <c r="K184" i="1"/>
  <c r="K195" i="1"/>
  <c r="N195" i="1" s="1"/>
  <c r="K183" i="1"/>
  <c r="N183" i="1" s="1"/>
  <c r="K188" i="1"/>
  <c r="N188" i="1" s="1"/>
  <c r="K185" i="1"/>
  <c r="N185" i="1" s="1"/>
  <c r="K196" i="1"/>
  <c r="K194" i="1"/>
  <c r="N194" i="1" s="1"/>
  <c r="K182" i="1"/>
  <c r="K173" i="1"/>
  <c r="K161" i="1"/>
  <c r="K172" i="1"/>
  <c r="N172" i="1" s="1"/>
  <c r="K160" i="1"/>
  <c r="N160" i="1" s="1"/>
  <c r="K148" i="1"/>
  <c r="K136" i="1"/>
  <c r="K124" i="1"/>
  <c r="K112" i="1"/>
  <c r="K100" i="1"/>
  <c r="K152" i="1"/>
  <c r="K171" i="1"/>
  <c r="K159" i="1"/>
  <c r="K147" i="1"/>
  <c r="K135" i="1"/>
  <c r="K123" i="1"/>
  <c r="K111" i="1"/>
  <c r="N111" i="1" s="1"/>
  <c r="K99" i="1"/>
  <c r="K170" i="1"/>
  <c r="N170" i="1" s="1"/>
  <c r="K158" i="1"/>
  <c r="N158" i="1" s="1"/>
  <c r="K146" i="1"/>
  <c r="K134" i="1"/>
  <c r="K122" i="1"/>
  <c r="K177" i="1"/>
  <c r="K165" i="1"/>
  <c r="K153" i="1"/>
  <c r="K141" i="1"/>
  <c r="K176" i="1"/>
  <c r="K164" i="1"/>
  <c r="K175" i="1"/>
  <c r="K163" i="1"/>
  <c r="K151" i="1"/>
  <c r="N151" i="1" s="1"/>
  <c r="K174" i="1"/>
  <c r="K162" i="1"/>
  <c r="K150" i="1"/>
  <c r="N150" i="1" s="1"/>
  <c r="K157" i="1"/>
  <c r="N157" i="1" s="1"/>
  <c r="K145" i="1"/>
  <c r="K156" i="1"/>
  <c r="K144" i="1"/>
  <c r="K155" i="1"/>
  <c r="K143" i="1"/>
  <c r="K154" i="1"/>
  <c r="K142" i="1"/>
  <c r="K149" i="1"/>
  <c r="K137" i="1"/>
  <c r="K125" i="1"/>
  <c r="K113" i="1"/>
  <c r="K101" i="1"/>
  <c r="K89" i="1"/>
  <c r="K105" i="1"/>
  <c r="K133" i="1"/>
  <c r="K131" i="1"/>
  <c r="K119" i="1"/>
  <c r="K130" i="1"/>
  <c r="K118" i="1"/>
  <c r="K106" i="1"/>
  <c r="N106" i="1" s="1"/>
  <c r="K121" i="1"/>
  <c r="K120" i="1"/>
  <c r="N120" i="1" s="1"/>
  <c r="K129" i="1"/>
  <c r="K128" i="1"/>
  <c r="N128" i="1" s="1"/>
  <c r="K139" i="1"/>
  <c r="K127" i="1"/>
  <c r="N127" i="1" s="1"/>
  <c r="K132" i="1"/>
  <c r="K117" i="1"/>
  <c r="K140" i="1"/>
  <c r="K116" i="1"/>
  <c r="K138" i="1"/>
  <c r="K126" i="1"/>
  <c r="K114" i="1"/>
  <c r="N114" i="1" s="1"/>
  <c r="K102" i="1"/>
  <c r="K90" i="1"/>
  <c r="K78" i="1"/>
  <c r="K70" i="1"/>
  <c r="K104" i="1"/>
  <c r="K115" i="1"/>
  <c r="K103" i="1"/>
  <c r="K91" i="1"/>
  <c r="K79" i="1"/>
  <c r="K110" i="1"/>
  <c r="K98" i="1"/>
  <c r="K107" i="1"/>
  <c r="K94" i="1"/>
  <c r="N94" i="1" s="1"/>
  <c r="K82" i="1"/>
  <c r="K58" i="1"/>
  <c r="K86" i="1"/>
  <c r="N86" i="1" s="1"/>
  <c r="K109" i="1"/>
  <c r="K93" i="1"/>
  <c r="K81" i="1"/>
  <c r="K97" i="1"/>
  <c r="K85" i="1"/>
  <c r="K108" i="1"/>
  <c r="K92" i="1"/>
  <c r="K80" i="1"/>
  <c r="K96" i="1"/>
  <c r="N96" i="1" s="1"/>
  <c r="K84" i="1"/>
  <c r="K72" i="1"/>
  <c r="K60" i="1"/>
  <c r="K88" i="1"/>
  <c r="K95" i="1"/>
  <c r="K83" i="1"/>
  <c r="K71" i="1"/>
  <c r="K59" i="1"/>
  <c r="K87" i="1"/>
  <c r="K77" i="1"/>
  <c r="K65" i="1"/>
  <c r="K69" i="1"/>
  <c r="K57" i="1"/>
  <c r="K67" i="1"/>
  <c r="N67" i="1" s="1"/>
  <c r="K56" i="1"/>
  <c r="K76" i="1"/>
  <c r="K64" i="1"/>
  <c r="K55" i="1"/>
  <c r="K75" i="1"/>
  <c r="K63" i="1"/>
  <c r="K74" i="1"/>
  <c r="K62" i="1"/>
  <c r="K66" i="1"/>
  <c r="K68" i="1"/>
  <c r="K73" i="1"/>
  <c r="K61" i="1"/>
  <c r="G53" i="1"/>
  <c r="H53" i="1" s="1"/>
  <c r="D53" i="1"/>
  <c r="E53" i="1" s="1"/>
  <c r="F53" i="1"/>
  <c r="F47" i="1"/>
  <c r="D47" i="1"/>
  <c r="E47" i="1" s="1"/>
  <c r="G47" i="1"/>
  <c r="H47" i="1" s="1"/>
  <c r="F52" i="1"/>
  <c r="F51" i="1"/>
  <c r="D52" i="1"/>
  <c r="E52" i="1" s="1"/>
  <c r="F50" i="1"/>
  <c r="D51" i="1"/>
  <c r="E51" i="1" s="1"/>
  <c r="F49" i="1"/>
  <c r="D36" i="1"/>
  <c r="E36" i="1" s="1"/>
  <c r="F36" i="1"/>
  <c r="G36" i="1"/>
  <c r="H36" i="1" s="1"/>
  <c r="F43" i="1"/>
  <c r="D43" i="1"/>
  <c r="E43" i="1" s="1"/>
  <c r="G43" i="1"/>
  <c r="H43" i="1" s="1"/>
  <c r="F42" i="1"/>
  <c r="G42" i="1"/>
  <c r="H42" i="1" s="1"/>
  <c r="D42" i="1"/>
  <c r="E42" i="1" s="1"/>
  <c r="G37" i="1"/>
  <c r="H37" i="1" s="1"/>
  <c r="D37" i="1"/>
  <c r="E37" i="1" s="1"/>
  <c r="F37" i="1"/>
  <c r="D46" i="1"/>
  <c r="E46" i="1" s="1"/>
  <c r="F40" i="1"/>
  <c r="G39" i="1"/>
  <c r="H39" i="1" s="1"/>
  <c r="D40" i="1"/>
  <c r="E40" i="1" s="1"/>
  <c r="F46" i="1"/>
  <c r="F45" i="1"/>
  <c r="F44" i="1"/>
  <c r="D20" i="1"/>
  <c r="E20" i="1" s="1"/>
  <c r="G20" i="1"/>
  <c r="H20" i="1" s="1"/>
  <c r="F20" i="1"/>
  <c r="D19" i="1"/>
  <c r="E19" i="1" s="1"/>
  <c r="G19" i="1"/>
  <c r="H19" i="1" s="1"/>
  <c r="F19" i="1"/>
  <c r="D26" i="1"/>
  <c r="E26" i="1" s="1"/>
  <c r="G26" i="1"/>
  <c r="H26" i="1" s="1"/>
  <c r="F26" i="1"/>
  <c r="F25" i="1"/>
  <c r="D25" i="1"/>
  <c r="E25" i="1" s="1"/>
  <c r="G25" i="1"/>
  <c r="H25" i="1" s="1"/>
  <c r="F32" i="1"/>
  <c r="D32" i="1"/>
  <c r="E32" i="1" s="1"/>
  <c r="G32" i="1"/>
  <c r="H32" i="1" s="1"/>
  <c r="D31" i="1"/>
  <c r="E31" i="1" s="1"/>
  <c r="G31" i="1"/>
  <c r="H31" i="1" s="1"/>
  <c r="F31" i="1"/>
  <c r="F30" i="1"/>
  <c r="F29" i="1"/>
  <c r="F28" i="1"/>
  <c r="G30" i="1"/>
  <c r="H30" i="1" s="1"/>
  <c r="G29" i="1"/>
  <c r="H29" i="1" s="1"/>
  <c r="D24" i="1"/>
  <c r="E24" i="1" s="1"/>
  <c r="D18" i="1"/>
  <c r="E18" i="1" s="1"/>
  <c r="G18" i="1"/>
  <c r="H18" i="1" s="1"/>
  <c r="F18" i="1"/>
  <c r="D12" i="1"/>
  <c r="E12" i="1" s="1"/>
  <c r="F12" i="1"/>
  <c r="G12" i="1"/>
  <c r="H12" i="1" s="1"/>
  <c r="G8" i="1"/>
  <c r="H8" i="1" s="1"/>
  <c r="D8" i="1"/>
  <c r="E8" i="1" s="1"/>
  <c r="F8" i="1"/>
  <c r="F6" i="1"/>
  <c r="D6" i="1"/>
  <c r="E6" i="1" s="1"/>
  <c r="G6" i="1"/>
  <c r="H6" i="1" s="1"/>
  <c r="G16" i="1"/>
  <c r="H16" i="1" s="1"/>
  <c r="D17" i="1"/>
  <c r="E17" i="1" s="1"/>
  <c r="G11" i="1"/>
  <c r="H11" i="1" s="1"/>
  <c r="D11" i="1"/>
  <c r="E11" i="1" s="1"/>
  <c r="D10" i="1"/>
  <c r="E10" i="1" s="1"/>
  <c r="F10" i="1"/>
  <c r="G9" i="1"/>
  <c r="H9" i="1" s="1"/>
  <c r="G17" i="1"/>
  <c r="H17" i="1" s="1"/>
  <c r="F16" i="1"/>
  <c r="D9" i="1"/>
  <c r="E9" i="1" s="1"/>
  <c r="D5" i="1"/>
  <c r="E5" i="1" s="1"/>
  <c r="G5" i="1"/>
  <c r="H5" i="1" s="1"/>
  <c r="F5" i="1"/>
  <c r="E34" i="1"/>
  <c r="E7" i="1"/>
  <c r="E15" i="1"/>
  <c r="E14" i="1"/>
  <c r="E13" i="1"/>
  <c r="N146" i="1" l="1"/>
  <c r="N235" i="1"/>
  <c r="N178" i="1"/>
  <c r="N223" i="1"/>
  <c r="N61" i="1"/>
  <c r="N177" i="1"/>
  <c r="N171" i="1"/>
  <c r="N227" i="1"/>
  <c r="N224" i="1"/>
  <c r="N122" i="1"/>
  <c r="N152" i="1"/>
  <c r="N203" i="1"/>
  <c r="N219" i="1"/>
  <c r="N226" i="1"/>
  <c r="N89" i="1"/>
  <c r="N72" i="1"/>
  <c r="N78" i="1"/>
  <c r="N207" i="1"/>
  <c r="N113" i="1"/>
  <c r="N196" i="1"/>
  <c r="N225" i="1"/>
  <c r="N237" i="1"/>
  <c r="N214" i="1"/>
  <c r="N125" i="1"/>
  <c r="N162" i="1"/>
  <c r="N134" i="1"/>
  <c r="N180" i="1"/>
  <c r="N198" i="1"/>
  <c r="N56" i="1"/>
  <c r="N139" i="1"/>
  <c r="N231" i="1"/>
  <c r="N174" i="1"/>
  <c r="N216" i="1"/>
  <c r="N246" i="1"/>
  <c r="N126" i="1"/>
  <c r="N153" i="1"/>
  <c r="N101" i="1"/>
  <c r="N192" i="1"/>
  <c r="N130" i="1"/>
  <c r="N154" i="1"/>
  <c r="N184" i="1"/>
  <c r="N190" i="1"/>
  <c r="N239" i="1"/>
  <c r="N123" i="1"/>
  <c r="N202" i="1"/>
  <c r="N234" i="1"/>
  <c r="N169" i="1"/>
  <c r="N181" i="1"/>
  <c r="N212" i="1"/>
  <c r="N253" i="1"/>
  <c r="N250" i="1"/>
  <c r="N252" i="1"/>
  <c r="N242" i="1"/>
  <c r="N230" i="1"/>
  <c r="N243" i="1"/>
  <c r="N240" i="1"/>
  <c r="N244" i="1"/>
  <c r="N222" i="1"/>
  <c r="N228" i="1"/>
  <c r="N254" i="1"/>
  <c r="N232" i="1"/>
  <c r="N241" i="1"/>
  <c r="N233" i="1"/>
  <c r="N245" i="1"/>
  <c r="N107" i="1"/>
  <c r="N121" i="1"/>
  <c r="N138" i="1"/>
  <c r="N142" i="1"/>
  <c r="N163" i="1"/>
  <c r="N218" i="1"/>
  <c r="N206" i="1"/>
  <c r="N210" i="1"/>
  <c r="N87" i="1"/>
  <c r="N135" i="1"/>
  <c r="N200" i="1"/>
  <c r="N201" i="1"/>
  <c r="N208" i="1"/>
  <c r="N205" i="1"/>
  <c r="N175" i="1"/>
  <c r="N148" i="1"/>
  <c r="N164" i="1"/>
  <c r="N189" i="1"/>
  <c r="N168" i="1"/>
  <c r="N155" i="1"/>
  <c r="N176" i="1"/>
  <c r="N191" i="1"/>
  <c r="N132" i="1"/>
  <c r="N133" i="1"/>
  <c r="N144" i="1"/>
  <c r="N141" i="1"/>
  <c r="N161" i="1"/>
  <c r="N156" i="1"/>
  <c r="N173" i="1"/>
  <c r="N159" i="1"/>
  <c r="N182" i="1"/>
  <c r="N187" i="1"/>
  <c r="N73" i="1"/>
  <c r="N57" i="1"/>
  <c r="N84" i="1"/>
  <c r="N100" i="1"/>
  <c r="N137" i="1"/>
  <c r="N77" i="1"/>
  <c r="N59" i="1"/>
  <c r="N99" i="1"/>
  <c r="N145" i="1"/>
  <c r="N165" i="1"/>
  <c r="N65" i="1"/>
  <c r="N80" i="1"/>
  <c r="N62" i="1"/>
  <c r="N129" i="1"/>
  <c r="N149" i="1"/>
  <c r="N74" i="1"/>
  <c r="N136" i="1"/>
  <c r="N140" i="1"/>
  <c r="N143" i="1"/>
  <c r="N147" i="1"/>
  <c r="N119" i="1"/>
  <c r="N82" i="1"/>
  <c r="N117" i="1"/>
  <c r="N131" i="1"/>
  <c r="N118" i="1"/>
  <c r="N116" i="1"/>
  <c r="N95" i="1"/>
  <c r="N115" i="1"/>
  <c r="N88" i="1"/>
  <c r="N109" i="1"/>
  <c r="N124" i="1"/>
  <c r="N75" i="1"/>
  <c r="N71" i="1"/>
  <c r="N97" i="1"/>
  <c r="N102" i="1"/>
  <c r="N112" i="1"/>
  <c r="N83" i="1"/>
  <c r="N103" i="1"/>
  <c r="N98" i="1"/>
  <c r="N93" i="1"/>
  <c r="N108" i="1"/>
  <c r="N110" i="1"/>
  <c r="N104" i="1"/>
  <c r="N105" i="1"/>
  <c r="N90" i="1"/>
  <c r="N85" i="1"/>
  <c r="N79" i="1"/>
  <c r="N81" i="1"/>
  <c r="N91" i="1"/>
  <c r="N92" i="1"/>
  <c r="N76" i="1"/>
  <c r="N68" i="1"/>
  <c r="N69" i="1"/>
  <c r="N63" i="1"/>
  <c r="N58" i="1"/>
  <c r="N64" i="1"/>
  <c r="N66" i="1"/>
  <c r="N55" i="1"/>
  <c r="N60" i="1"/>
  <c r="N70" i="1"/>
  <c r="K16" i="1"/>
  <c r="K23" i="1"/>
  <c r="L54" i="1"/>
  <c r="L53" i="1"/>
  <c r="K7" i="1"/>
  <c r="M7" i="1"/>
  <c r="L29" i="1"/>
  <c r="L8" i="1"/>
  <c r="L40" i="1"/>
  <c r="L48" i="1"/>
  <c r="L10" i="1"/>
  <c r="L37" i="1"/>
  <c r="L46" i="1"/>
  <c r="L15" i="1"/>
  <c r="L44" i="1"/>
  <c r="L33" i="1"/>
  <c r="L49" i="1"/>
  <c r="L26" i="1"/>
  <c r="L41" i="1"/>
  <c r="L45" i="1"/>
  <c r="L38" i="1"/>
  <c r="L50" i="1"/>
  <c r="L30" i="1"/>
  <c r="L36" i="1"/>
  <c r="L47" i="1"/>
  <c r="L32" i="1"/>
  <c r="L42" i="1"/>
  <c r="L25" i="1"/>
  <c r="L35" i="1"/>
  <c r="L12" i="1"/>
  <c r="L13" i="1"/>
  <c r="L34" i="1"/>
  <c r="M47" i="1"/>
  <c r="L14" i="1"/>
  <c r="L27" i="1"/>
  <c r="L5" i="1"/>
  <c r="L39" i="1"/>
  <c r="L31" i="1"/>
  <c r="L11" i="1"/>
  <c r="M54" i="1"/>
  <c r="L6" i="1"/>
  <c r="L51" i="1"/>
  <c r="L7" i="1"/>
  <c r="L28" i="1"/>
  <c r="L43" i="1"/>
  <c r="L9" i="1"/>
  <c r="L52" i="1"/>
  <c r="M43" i="1"/>
  <c r="M27" i="1"/>
  <c r="M35" i="1"/>
  <c r="M28" i="1"/>
  <c r="M40" i="1"/>
  <c r="M25" i="1"/>
  <c r="M52" i="1"/>
  <c r="M44" i="1"/>
  <c r="M33" i="1"/>
  <c r="K29" i="1"/>
  <c r="M29" i="1"/>
  <c r="M26" i="1"/>
  <c r="M45" i="1"/>
  <c r="M50" i="1"/>
  <c r="M30" i="1"/>
  <c r="M36" i="1"/>
  <c r="M48" i="1"/>
  <c r="M37" i="1"/>
  <c r="M49" i="1"/>
  <c r="K31" i="1"/>
  <c r="M41" i="1"/>
  <c r="M34" i="1"/>
  <c r="M38" i="1"/>
  <c r="K53" i="1"/>
  <c r="M53" i="1"/>
  <c r="M32" i="1"/>
  <c r="M42" i="1"/>
  <c r="K39" i="1"/>
  <c r="M39" i="1"/>
  <c r="M31" i="1"/>
  <c r="M51" i="1"/>
  <c r="M46" i="1"/>
  <c r="K43" i="1"/>
  <c r="K35" i="1"/>
  <c r="K34" i="1"/>
  <c r="K27" i="1"/>
  <c r="K47" i="1"/>
  <c r="K51" i="1"/>
  <c r="K46" i="1"/>
  <c r="K28" i="1"/>
  <c r="K40" i="1"/>
  <c r="K48" i="1"/>
  <c r="K52" i="1"/>
  <c r="K44" i="1"/>
  <c r="K33" i="1"/>
  <c r="K26" i="1"/>
  <c r="K41" i="1"/>
  <c r="K45" i="1"/>
  <c r="K38" i="1"/>
  <c r="K50" i="1"/>
  <c r="K30" i="1"/>
  <c r="K36" i="1"/>
  <c r="K25" i="1"/>
  <c r="K37" i="1"/>
  <c r="K49" i="1"/>
  <c r="K32" i="1"/>
  <c r="K42" i="1"/>
  <c r="K54" i="1"/>
  <c r="K15" i="1"/>
  <c r="M15" i="1"/>
  <c r="M14" i="1"/>
  <c r="M8" i="1"/>
  <c r="M9" i="1"/>
  <c r="M13" i="1"/>
  <c r="M6" i="1"/>
  <c r="M10" i="1"/>
  <c r="M12" i="1"/>
  <c r="M11" i="1"/>
  <c r="M5" i="1"/>
  <c r="K6" i="1"/>
  <c r="K8" i="1"/>
  <c r="K9" i="1"/>
  <c r="K10" i="1"/>
  <c r="K11" i="1"/>
  <c r="K14" i="1"/>
  <c r="K12" i="1"/>
  <c r="K5" i="1"/>
  <c r="K13" i="1"/>
  <c r="L23" i="1" l="1"/>
  <c r="N23" i="1" s="1"/>
  <c r="L21" i="1"/>
  <c r="M21" i="1"/>
  <c r="M16" i="1"/>
  <c r="L24" i="1"/>
  <c r="M23" i="1"/>
  <c r="K21" i="1"/>
  <c r="M24" i="1"/>
  <c r="M19" i="1"/>
  <c r="L16" i="1"/>
  <c r="N16" i="1" s="1"/>
  <c r="K20" i="1"/>
  <c r="L22" i="1"/>
  <c r="M18" i="1"/>
  <c r="M20" i="1"/>
  <c r="M22" i="1"/>
  <c r="K19" i="1"/>
  <c r="L20" i="1"/>
  <c r="K24" i="1"/>
  <c r="K18" i="1"/>
  <c r="L17" i="1"/>
  <c r="K22" i="1"/>
  <c r="L18" i="1"/>
  <c r="M17" i="1"/>
  <c r="K17" i="1"/>
  <c r="L19" i="1"/>
  <c r="N48" i="1"/>
  <c r="N33" i="1"/>
  <c r="N31" i="1"/>
  <c r="N36" i="1"/>
  <c r="N37" i="1"/>
  <c r="N30" i="1"/>
  <c r="N38" i="1"/>
  <c r="N44" i="1"/>
  <c r="N42" i="1"/>
  <c r="N39" i="1"/>
  <c r="N51" i="1"/>
  <c r="N28" i="1"/>
  <c r="N46" i="1"/>
  <c r="N43" i="1"/>
  <c r="N25" i="1"/>
  <c r="N32" i="1"/>
  <c r="N49" i="1"/>
  <c r="N34" i="1"/>
  <c r="N27" i="1"/>
  <c r="N47" i="1"/>
  <c r="N50" i="1"/>
  <c r="N29" i="1"/>
  <c r="N40" i="1"/>
  <c r="N35" i="1"/>
  <c r="N45" i="1"/>
  <c r="N52" i="1"/>
  <c r="N41" i="1"/>
  <c r="N53" i="1"/>
  <c r="N54" i="1"/>
  <c r="N26" i="1"/>
  <c r="N15" i="1"/>
  <c r="N11" i="1"/>
  <c r="N12" i="1"/>
  <c r="N14" i="1"/>
  <c r="N8" i="1"/>
  <c r="N7" i="1"/>
  <c r="N6" i="1"/>
  <c r="N10" i="1"/>
  <c r="N13" i="1"/>
  <c r="N9" i="1"/>
  <c r="N5" i="1"/>
  <c r="N21" i="1" l="1"/>
  <c r="N19" i="1"/>
  <c r="N24" i="1"/>
  <c r="N20" i="1"/>
  <c r="N22" i="1"/>
  <c r="N18" i="1"/>
  <c r="N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<sst xmlns="http://schemas.openxmlformats.org/spreadsheetml/2006/main" count="265" uniqueCount="265">
  <si>
    <t>project_id</t>
  </si>
  <si>
    <t>company_name</t>
  </si>
  <si>
    <t>sector</t>
  </si>
  <si>
    <t>initial_investment</t>
  </si>
  <si>
    <t>cashflow_y1</t>
  </si>
  <si>
    <t>cashflow_y2</t>
  </si>
  <si>
    <t>cashflow_y3</t>
  </si>
  <si>
    <t>discount_rate</t>
  </si>
  <si>
    <t>risk_score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</si>
  <si>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</si>
  <si>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</si>
  <si>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</si>
  <si>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</si>
  <si>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</si>
  <si>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</si>
  <si>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</si>
  <si>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</si>
  <si>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</si>
  <si>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</si>
  <si>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</si>
  <si>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</si>
  <si>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</si>
  <si>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</si>
  <si>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</si>
  <si>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NPV</t>
  </si>
  <si>
    <t>IRR</t>
  </si>
  <si>
    <t>Payback Period</t>
  </si>
  <si>
    <t>negative II</t>
  </si>
  <si>
    <t>decision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</si>
  <si>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</si>
  <si>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</si>
  <si>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</si>
  <si>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</si>
  <si>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</si>
  <si>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</si>
  <si>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</si>
  <si>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</si>
  <si>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</si>
  <si>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</si>
  <si>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</si>
  <si>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</si>
  <si>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</si>
  <si>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</si>
  <si>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</si>
  <si>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</si>
  <si>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</si>
  <si>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</si>
  <si>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</si>
  <si>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</si>
  <si>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</si>
  <si>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</si>
  <si>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</si>
  <si>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</si>
  <si>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</si>
  <si>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</si>
  <si>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</si>
  <si>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</si>
  <si>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</si>
  <si>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</si>
  <si>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</si>
  <si>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</si>
  <si>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</si>
  <si>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</si>
  <si>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</si>
  <si>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L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</si>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</sst>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57b17cc784b9aa/Documents/y_finance_raw.xlsx" TargetMode="External"/><Relationship Id="rId1" Type="http://schemas.openxmlformats.org/officeDocument/2006/relationships/externalLinkPath" Target="https://d.docs.live.net/8657b17cc784b9aa/Documents/y_finance_ra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company_name</v>
          </cell>
          <cell r="B1" t="str">
            <v>sector</v>
          </cell>
          <cell r="C1" t="str">
            <v>revenue</v>
          </cell>
          <cell r="D1" t="str">
            <v>operating_income</v>
          </cell>
          <cell r="E1" t="str">
            <v>net_income</v>
          </cell>
          <cell r="F1" t="str">
            <v>ebitda</v>
          </cell>
        </row>
        <row r="2">
          <cell r="A2" t="str">
            <v>Apple</v>
          </cell>
          <cell r="B2" t="str">
            <v>tech</v>
          </cell>
          <cell r="C2">
            <v>416160000000</v>
          </cell>
          <cell r="D2">
            <v>114300000000</v>
          </cell>
          <cell r="E2">
            <v>112000000000</v>
          </cell>
          <cell r="F2">
            <v>144750000000</v>
          </cell>
        </row>
        <row r="3">
          <cell r="A3" t="str">
            <v>Microsoft</v>
          </cell>
          <cell r="B3" t="str">
            <v>tech</v>
          </cell>
          <cell r="C3">
            <v>436968000000</v>
          </cell>
          <cell r="D3">
            <v>123444000000.00002</v>
          </cell>
          <cell r="E3">
            <v>119840000000</v>
          </cell>
          <cell r="F3">
            <v>151987500000</v>
          </cell>
        </row>
        <row r="4">
          <cell r="A4" t="str">
            <v>Infosys</v>
          </cell>
          <cell r="B4" t="str">
            <v>tech</v>
          </cell>
          <cell r="C4">
            <v>478583999999.99994</v>
          </cell>
          <cell r="D4">
            <v>126873000000.00002</v>
          </cell>
          <cell r="E4">
            <v>104160000000</v>
          </cell>
          <cell r="F4">
            <v>154882500000</v>
          </cell>
        </row>
        <row r="5">
          <cell r="A5" t="str">
            <v>TCS</v>
          </cell>
          <cell r="B5" t="str">
            <v>tech</v>
          </cell>
          <cell r="C5">
            <v>353736000000</v>
          </cell>
          <cell r="D5">
            <v>126873000000.00002</v>
          </cell>
          <cell r="E5">
            <v>101920000000</v>
          </cell>
          <cell r="F5">
            <v>165015000000.00003</v>
          </cell>
        </row>
        <row r="6">
          <cell r="A6" t="str">
            <v>Wipro</v>
          </cell>
          <cell r="B6" t="str">
            <v>tech</v>
          </cell>
          <cell r="C6">
            <v>424483200000</v>
          </cell>
          <cell r="D6">
            <v>105156000000</v>
          </cell>
          <cell r="E6">
            <v>106400000000</v>
          </cell>
          <cell r="F6">
            <v>138960000000</v>
          </cell>
        </row>
        <row r="7">
          <cell r="A7" t="str">
            <v>Reliance Industries</v>
          </cell>
          <cell r="B7" t="str">
            <v>Energy</v>
          </cell>
          <cell r="C7">
            <v>10000000000000</v>
          </cell>
          <cell r="D7">
            <v>1224000000000</v>
          </cell>
          <cell r="E7">
            <v>832000000000</v>
          </cell>
          <cell r="F7">
            <v>1710000000000</v>
          </cell>
        </row>
        <row r="8">
          <cell r="A8" t="str">
            <v>ONGC</v>
          </cell>
          <cell r="B8" t="str">
            <v>Energy</v>
          </cell>
          <cell r="C8">
            <v>10500000000000</v>
          </cell>
          <cell r="D8">
            <v>1175040000000</v>
          </cell>
          <cell r="E8">
            <v>981760000000</v>
          </cell>
          <cell r="F8">
            <v>1966499999999.9998</v>
          </cell>
        </row>
        <row r="9">
          <cell r="A9" t="str">
            <v>Adani Green</v>
          </cell>
          <cell r="B9" t="str">
            <v>Energy</v>
          </cell>
          <cell r="C9">
            <v>8600000000000</v>
          </cell>
          <cell r="D9">
            <v>1468800000000</v>
          </cell>
          <cell r="E9">
            <v>956799999999.99988</v>
          </cell>
          <cell r="F9">
            <v>1556100000000</v>
          </cell>
        </row>
        <row r="10">
          <cell r="A10" t="str">
            <v>NTPC</v>
          </cell>
          <cell r="B10" t="str">
            <v>Energy</v>
          </cell>
          <cell r="C10">
            <v>10900000000000</v>
          </cell>
          <cell r="D10">
            <v>1444320000000</v>
          </cell>
          <cell r="E10">
            <v>815360000000</v>
          </cell>
          <cell r="F10">
            <v>1881000000000.0002</v>
          </cell>
        </row>
        <row r="11">
          <cell r="A11" t="str">
            <v>Tata Power</v>
          </cell>
          <cell r="B11" t="str">
            <v>Energy</v>
          </cell>
          <cell r="C11">
            <v>8500000000000</v>
          </cell>
          <cell r="D11">
            <v>1211760000000</v>
          </cell>
          <cell r="E11">
            <v>973440000000</v>
          </cell>
          <cell r="F11">
            <v>1487700000000</v>
          </cell>
        </row>
        <row r="12">
          <cell r="A12" t="str">
            <v>HDFC</v>
          </cell>
          <cell r="B12" t="str">
            <v>Finance</v>
          </cell>
          <cell r="C12">
            <v>2520000000000</v>
          </cell>
          <cell r="D12">
            <v>1560000000000</v>
          </cell>
          <cell r="E12">
            <v>172000000000</v>
          </cell>
          <cell r="F12">
            <v>1850000000000</v>
          </cell>
        </row>
        <row r="13">
          <cell r="A13" t="str">
            <v>ICICI</v>
          </cell>
          <cell r="B13" t="str">
            <v>Finance</v>
          </cell>
          <cell r="C13">
            <v>2545200000000</v>
          </cell>
          <cell r="D13">
            <v>1653600000000</v>
          </cell>
          <cell r="E13">
            <v>156520000000</v>
          </cell>
          <cell r="F13">
            <v>1794500000000</v>
          </cell>
        </row>
        <row r="14">
          <cell r="A14" t="str">
            <v>SBI</v>
          </cell>
          <cell r="B14" t="str">
            <v>Finance</v>
          </cell>
          <cell r="C14">
            <v>2570400000000</v>
          </cell>
          <cell r="D14">
            <v>1669200000000</v>
          </cell>
          <cell r="E14">
            <v>158240000000</v>
          </cell>
          <cell r="F14">
            <v>1831500000000</v>
          </cell>
        </row>
        <row r="15">
          <cell r="A15" t="str">
            <v>Axis bank</v>
          </cell>
          <cell r="B15" t="str">
            <v>Finance</v>
          </cell>
          <cell r="C15">
            <v>2343600000000</v>
          </cell>
          <cell r="D15">
            <v>1669200000000</v>
          </cell>
          <cell r="E15">
            <v>163400000000</v>
          </cell>
          <cell r="F15">
            <v>1979500000000</v>
          </cell>
        </row>
        <row r="16">
          <cell r="A16" t="str">
            <v>Kotak</v>
          </cell>
          <cell r="B16" t="str">
            <v>Finance</v>
          </cell>
          <cell r="C16">
            <v>2696400000000</v>
          </cell>
          <cell r="D16">
            <v>1575600000000</v>
          </cell>
          <cell r="E16">
            <v>177160000000</v>
          </cell>
          <cell r="F16">
            <v>1887000000000</v>
          </cell>
        </row>
        <row r="17">
          <cell r="A17" t="str">
            <v>Hindustan Unilever</v>
          </cell>
          <cell r="B17" t="str">
            <v>FMCG</v>
          </cell>
          <cell r="C17">
            <v>603000000000</v>
          </cell>
          <cell r="D17">
            <v>144000000000</v>
          </cell>
          <cell r="E17">
            <v>106000000000</v>
          </cell>
          <cell r="F17">
            <v>142000000000</v>
          </cell>
        </row>
        <row r="18">
          <cell r="A18" t="str">
            <v>ITC</v>
          </cell>
          <cell r="B18" t="str">
            <v>FMCG</v>
          </cell>
          <cell r="C18">
            <v>584910000000</v>
          </cell>
          <cell r="D18">
            <v>133919999999.99998</v>
          </cell>
          <cell r="E18">
            <v>113420000000</v>
          </cell>
          <cell r="F18">
            <v>140580000000</v>
          </cell>
        </row>
        <row r="19">
          <cell r="A19" t="str">
            <v>Nestle India</v>
          </cell>
          <cell r="B19" t="str">
            <v>FMCG</v>
          </cell>
          <cell r="C19">
            <v>627120000000</v>
          </cell>
          <cell r="D19">
            <v>139680000000</v>
          </cell>
          <cell r="E19">
            <v>109180000000</v>
          </cell>
          <cell r="F19">
            <v>147680000000</v>
          </cell>
        </row>
        <row r="20">
          <cell r="A20" t="str">
            <v>Dabur</v>
          </cell>
          <cell r="B20" t="str">
            <v>FMCG</v>
          </cell>
          <cell r="C20">
            <v>560790000000</v>
          </cell>
          <cell r="D20">
            <v>141120000000</v>
          </cell>
          <cell r="E20">
            <v>101760000000</v>
          </cell>
          <cell r="F20">
            <v>150520000000</v>
          </cell>
        </row>
        <row r="21">
          <cell r="A21" t="str">
            <v>Brittania</v>
          </cell>
          <cell r="B21" t="str">
            <v>FMCG</v>
          </cell>
          <cell r="C21">
            <v>633150000000</v>
          </cell>
          <cell r="D21">
            <v>154080000000</v>
          </cell>
          <cell r="E21">
            <v>103880000000</v>
          </cell>
          <cell r="F21">
            <v>150520000000</v>
          </cell>
        </row>
        <row r="22">
          <cell r="A22" t="str">
            <v>Tata Motors</v>
          </cell>
          <cell r="B22" t="str">
            <v>Automobile</v>
          </cell>
          <cell r="C22">
            <v>4370000000000</v>
          </cell>
          <cell r="D22">
            <v>283000000000</v>
          </cell>
          <cell r="E22">
            <v>31500000000</v>
          </cell>
          <cell r="F22">
            <v>520000000000</v>
          </cell>
        </row>
        <row r="23">
          <cell r="A23" t="str">
            <v>Mahindra &amp; Mahindra</v>
          </cell>
          <cell r="B23" t="str">
            <v>Automobile</v>
          </cell>
          <cell r="C23">
            <v>4195200000000</v>
          </cell>
          <cell r="D23">
            <v>234890000000</v>
          </cell>
          <cell r="E23">
            <v>31815000000</v>
          </cell>
          <cell r="F23">
            <v>494000000000</v>
          </cell>
        </row>
        <row r="24">
          <cell r="A24" t="str">
            <v>Maruti Suzuki</v>
          </cell>
          <cell r="B24" t="str">
            <v>Automobile</v>
          </cell>
          <cell r="C24">
            <v>3714500000000</v>
          </cell>
          <cell r="D24">
            <v>333940000000</v>
          </cell>
          <cell r="E24">
            <v>28980000000</v>
          </cell>
          <cell r="F24">
            <v>436800000000</v>
          </cell>
        </row>
        <row r="25">
          <cell r="A25" t="str">
            <v>Hyundai India</v>
          </cell>
          <cell r="B25" t="str">
            <v>Automobile</v>
          </cell>
          <cell r="C25">
            <v>4807000000000</v>
          </cell>
          <cell r="D25">
            <v>328280000000</v>
          </cell>
          <cell r="E25">
            <v>26145000000</v>
          </cell>
          <cell r="F25">
            <v>587600000000</v>
          </cell>
        </row>
        <row r="26">
          <cell r="A26" t="str">
            <v>Ashok Leyland</v>
          </cell>
          <cell r="B26" t="str">
            <v>Automobile</v>
          </cell>
          <cell r="C26">
            <v>4370000000000</v>
          </cell>
          <cell r="D26">
            <v>291490000000</v>
          </cell>
          <cell r="E26">
            <v>29925000000</v>
          </cell>
          <cell r="F26">
            <v>587600000000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198F-275A-4439-B255-5C041D8DEFD4}">
  <dimension ref="A2:O254"/>
  <sheetViews>
    <sheetView tabSelected="1" topLeftCell="H187" zoomScale="70" zoomScaleNormal="70" workbookViewId="0">
      <selection activeCell="M261" sqref="M261"/>
    </sheetView>
  </sheetViews>
  <sheetFormatPr defaultRowHeight="14.4" x14ac:dyDescent="0.3"/>
  <cols>
    <col min="2" max="2" width="18.77734375" customWidth="1"/>
    <col min="3" max="3" width="12" customWidth="1"/>
    <col min="4" max="4" width="19.44140625" customWidth="1"/>
    <col min="5" max="5" width="16.109375" customWidth="1"/>
    <col min="6" max="6" width="16.5546875" customWidth="1"/>
    <col min="7" max="7" width="12.44140625" customWidth="1"/>
    <col min="8" max="8" width="14.109375" customWidth="1"/>
    <col min="9" max="9" width="11.88671875" customWidth="1"/>
    <col min="10" max="10" width="12.6640625" customWidth="1"/>
    <col min="11" max="14" width="16.109375" customWidth="1"/>
    <col min="15" max="15" width="8.88671875" style="3"/>
  </cols>
  <sheetData>
    <row r="2" spans="1:14" x14ac:dyDescent="0.3">
      <c r="A2" s="2"/>
      <c r="B2" s="2"/>
      <c r="C2" s="2"/>
      <c r="D2" s="2"/>
      <c r="E2" s="2"/>
      <c r="F2" s="2"/>
      <c r="G2" s="2"/>
      <c r="H2" s="2"/>
      <c r="I2" s="2" t="s">
        <v>64</v>
      </c>
      <c r="J2" s="2"/>
      <c r="K2" s="2"/>
      <c r="L2" s="2"/>
      <c r="M2" s="2"/>
      <c r="N2" s="2"/>
    </row>
    <row r="4" spans="1:14" x14ac:dyDescent="0.3">
      <c r="A4" t="s">
        <v>0</v>
      </c>
      <c r="B4" s="1" t="s">
        <v>1</v>
      </c>
      <c r="C4" s="1" t="s">
        <v>2</v>
      </c>
      <c r="D4" t="s">
        <v>3</v>
      </c>
      <c r="E4" t="s">
        <v>27</v>
      </c>
      <c r="F4" t="s">
        <v>4</v>
      </c>
      <c r="G4" t="s">
        <v>5</v>
      </c>
      <c r="H4" t="s">
        <v>6</v>
      </c>
      <c r="I4" t="s">
        <v>8</v>
      </c>
      <c r="J4" t="s">
        <v>7</v>
      </c>
      <c r="K4" t="s">
        <v>24</v>
      </c>
      <c r="L4" t="s">
        <v>25</v>
      </c>
      <c r="M4" t="s">
        <v>26</v>
      </c>
      <c r="N4" t="s">
        <v>28</v>
      </c>
    </row>
    <row r="5" spans="1:14" x14ac:dyDescent="0.3">
      <c r="A5" t="s">
        <v>9</v>
      </c>
      <c r="B5" t="str" cm="1">
        <f t="array" ref="B5">INDEX([1]Sheet1!$A$2:$A$26, INT((ROW()-5)/10)+1)</f>
        <v>Apple</v>
      </c>
      <c r="C5" t="str">
        <f>VLOOKUP(B5, [1]Sheet1!$A:$B, 2, FALSE)</f>
        <v>tech</v>
      </c>
      <c r="D5">
        <f ca="1">VLOOKUP($B5, [1]Sheet1!$A:$F, 3, FALSE) * (RANDBETWEEN(10,25)/100)</f>
        <v>62424000000</v>
      </c>
      <c r="E5">
        <f ca="1">-D5</f>
        <v>-62424000000</v>
      </c>
      <c r="F5">
        <f ca="1">VLOOKUP($B5, [1]Sheet1!$A:$F, 4, FALSE) * (RANDBETWEEN(40,70)/100)</f>
        <v>45720000000</v>
      </c>
      <c r="G5">
        <f ca="1">VLOOKUP($B5, [1]Sheet1!$A:$F, 5, FALSE) * (RANDBETWEEN(60,100)/100)</f>
        <v>78400000000</v>
      </c>
      <c r="H5">
        <f ca="1">G5 * (1 + RANDBETWEEN(5,20)/100)</f>
        <v>93296000000</v>
      </c>
      <c r="I5">
        <f ca="1">IF(C5="tech", RANDBETWEEN(2,4),
 IF(C5="energy", RANDBETWEEN(5,8),
 IF(C5="finance", RANDBETWEEN(3,6),
 IF(C5="FMCG", RANDBETWEEN(2,5),
 RANDBETWEEN(4,7)))))</f>
        <v>2</v>
      </c>
      <c r="J5">
        <f ca="1">IFERROR(
IF(I5&lt;=3,0.08,
IF(I5&lt;=6,0.1,
IF(I5&lt;=8,0.12,
0.15))),
"")</f>
        <v>0.08</v>
      </c>
      <c r="K5">
        <f ca="1">F5/(1+J5)^1 + G5/(1+J5)^2 + H5/(1+J5)^3 - D5</f>
        <v>121186069603.21088</v>
      </c>
      <c r="L5" s="4">
        <f ca="1">IFERROR(IRR(E5:H5), -1)</f>
        <v>0.84889920822013143</v>
      </c>
      <c r="M5">
        <f ca="1">IF(F5&gt;=D5,1,
IF(F5+G5&gt;=D5,1+(D5-F5)/G5,
IF(F5+G5+H5&gt;=D5,2+(D5-F5-G5)/H5,
"&gt;3")))</f>
        <v>1.2130612244897958</v>
      </c>
      <c r="N5" t="str">
        <f ca="1">IF(AND(K5&gt;0,L5&gt;J5),"Accept","Reject")</f>
        <v>Accept</v>
      </c>
    </row>
    <row r="6" spans="1:14" x14ac:dyDescent="0.3">
      <c r="A6" t="s">
        <v>10</v>
      </c>
      <c r="B6" t="str" cm="1">
        <f t="array" ref="B6">INDEX([1]Sheet1!$A$2:$A$26, INT((ROW()-5)/10)+1)</f>
        <v>Apple</v>
      </c>
      <c r="C6" t="str">
        <f>VLOOKUP(B6, [1]Sheet1!$A:$B, 2, FALSE)</f>
        <v>tech</v>
      </c>
      <c r="D6">
        <f ca="1">VLOOKUP($B6, [1]Sheet1!$A:$F, 3, FALSE) * (RANDBETWEEN(10,25)/100)</f>
        <v>79070400000</v>
      </c>
      <c r="E6">
        <f t="shared" ref="E6:E69" ca="1" si="0">-D6</f>
        <v>-79070400000</v>
      </c>
      <c r="F6">
        <f ca="1">VLOOKUP($B6, [1]Sheet1!$A:$F, 4, FALSE) * (RANDBETWEEN(40,70)/100)</f>
        <v>66293999999.999992</v>
      </c>
      <c r="G6">
        <f ca="1">VLOOKUP($B6, [1]Sheet1!$A:$F, 5, FALSE) * (RANDBETWEEN(60,100)/100)</f>
        <v>104160000000</v>
      </c>
      <c r="H6">
        <f t="shared" ref="H6:H53" ca="1" si="1">G6 * (1 + RANDBETWEEN(5,20)/100)</f>
        <v>122908800000</v>
      </c>
      <c r="I6">
        <f t="shared" ref="I6:I69" ca="1" si="2">IF(C6="tech", RANDBETWEEN(2,4),
 IF(C6="energy", RANDBETWEEN(5,8),
 IF(C6="finance", RANDBETWEEN(3,6),
 IF(C6="FMCG", RANDBETWEEN(2,5),
 RANDBETWEEN(4,7)))))</f>
        <v>3</v>
      </c>
      <c r="J6">
        <f t="shared" ref="J6:J69" ca="1" si="3">IFERROR(
IF(I6&lt;=3,0.08,
IF(I6&lt;=6,0.1,
IF(I6&lt;=8,0.12,
0.15))),
"")</f>
        <v>0.08</v>
      </c>
      <c r="K6">
        <f t="shared" ref="K6:K69" ca="1" si="4">F6/(1+J6)^1 + G6/(1+J6)^2 + H6/(1+J6)^3 - D6</f>
        <v>169182313001.06689</v>
      </c>
      <c r="L6" s="4">
        <f t="shared" ref="L6:L69" ca="1" si="5">IFERROR(IRR(E6:H6), -1)</f>
        <v>0.93463407568708345</v>
      </c>
      <c r="M6">
        <f t="shared" ref="M6:M69" ca="1" si="6">IF(F6&gt;=D6,1,
IF(F6+G6&gt;=D6,1+(D6-F6)/G6,
IF(F6+G6+H6&gt;=D6,2+(D6-F6-G6)/H6,
"&gt;3")))</f>
        <v>1.1226612903225808</v>
      </c>
      <c r="N6" t="str">
        <f t="shared" ref="N6:N69" ca="1" si="7">IF(AND(K6&gt;0,L6&gt;J6),"Accept","Reject")</f>
        <v>Accept</v>
      </c>
    </row>
    <row r="7" spans="1:14" x14ac:dyDescent="0.3">
      <c r="A7" t="s">
        <v>11</v>
      </c>
      <c r="B7" t="str" cm="1">
        <f t="array" ref="B7">INDEX([1]Sheet1!$A$2:$A$26, INT((ROW()-5)/10)+1)</f>
        <v>Apple</v>
      </c>
      <c r="C7" t="str">
        <f>VLOOKUP(B7, [1]Sheet1!$A:$B, 2, FALSE)</f>
        <v>tech</v>
      </c>
      <c r="D7">
        <f ca="1">VLOOKUP($B7, [1]Sheet1!$A:$F, 3, FALSE) * (RANDBETWEEN(10,25)/100)</f>
        <v>104040000000</v>
      </c>
      <c r="E7">
        <f t="shared" ca="1" si="0"/>
        <v>-104040000000</v>
      </c>
      <c r="F7">
        <f ca="1">VLOOKUP($B7, [1]Sheet1!$A:$F, 4, FALSE) * (RANDBETWEEN(40,70)/100)</f>
        <v>45720000000</v>
      </c>
      <c r="G7">
        <f ca="1">VLOOKUP($B7, [1]Sheet1!$A:$F, 5, FALSE) * (RANDBETWEEN(60,100)/100)</f>
        <v>68320000000</v>
      </c>
      <c r="H7">
        <f t="shared" ca="1" si="1"/>
        <v>81300800000</v>
      </c>
      <c r="I7">
        <f t="shared" ca="1" si="2"/>
        <v>3</v>
      </c>
      <c r="J7">
        <f ca="1">IFERROR(
IF(I7&lt;=3,0.08,
IF(I7&lt;=6,0.1,
IF(I7&lt;=8,0.12,
0.15))),
"")</f>
        <v>0.08</v>
      </c>
      <c r="K7">
        <f ca="1">F7/(1+J7)^1 + G7/(1+J7)^2 + H7/(1+J7)^3 - D7</f>
        <v>61405917797.083771</v>
      </c>
      <c r="L7" s="4">
        <f t="shared" ca="1" si="5"/>
        <v>0.35232857536338003</v>
      </c>
      <c r="M7">
        <f ca="1">IF(F7&gt;=D7,1,
IF(F7+G7&gt;=D7,1+(D7-F7)/G7,
IF(F7+G7+H7&gt;=D7,2+(D7-F7-G7)/H7,
"&gt;3")))</f>
        <v>1.8536299765807962</v>
      </c>
      <c r="N7" t="str">
        <f t="shared" ca="1" si="7"/>
        <v>Accept</v>
      </c>
    </row>
    <row r="8" spans="1:14" x14ac:dyDescent="0.3">
      <c r="A8" t="s">
        <v>12</v>
      </c>
      <c r="B8" t="str" cm="1">
        <f t="array" ref="B8">INDEX([1]Sheet1!$A$2:$A$26, INT((ROW()-5)/10)+1)</f>
        <v>Apple</v>
      </c>
      <c r="C8" t="str">
        <f>VLOOKUP(B8, [1]Sheet1!$A:$B, 2, FALSE)</f>
        <v>tech</v>
      </c>
      <c r="D8">
        <f ca="1">VLOOKUP($B8, [1]Sheet1!$A:$F, 3, FALSE) * (RANDBETWEEN(10,25)/100)</f>
        <v>91555200000</v>
      </c>
      <c r="E8">
        <f t="shared" ca="1" si="0"/>
        <v>-91555200000</v>
      </c>
      <c r="F8">
        <f ca="1">VLOOKUP($B8, [1]Sheet1!$A:$F, 4, FALSE) * (RANDBETWEEN(40,70)/100)</f>
        <v>61722000000.000008</v>
      </c>
      <c r="G8">
        <f ca="1">VLOOKUP($B8, [1]Sheet1!$A:$F, 5, FALSE) * (RANDBETWEEN(60,100)/100)</f>
        <v>104160000000</v>
      </c>
      <c r="H8">
        <f t="shared" ca="1" si="1"/>
        <v>112492800000</v>
      </c>
      <c r="I8">
        <f t="shared" ca="1" si="2"/>
        <v>4</v>
      </c>
      <c r="J8">
        <f t="shared" ca="1" si="3"/>
        <v>0.1</v>
      </c>
      <c r="K8">
        <f t="shared" ca="1" si="4"/>
        <v>135155859353.86926</v>
      </c>
      <c r="L8" s="4">
        <f t="shared" ca="1" si="5"/>
        <v>0.7366467886704986</v>
      </c>
      <c r="M8">
        <f t="shared" ca="1" si="6"/>
        <v>1.2864170506912442</v>
      </c>
      <c r="N8" t="str">
        <f t="shared" ca="1" si="7"/>
        <v>Accept</v>
      </c>
    </row>
    <row r="9" spans="1:14" x14ac:dyDescent="0.3">
      <c r="A9" t="s">
        <v>13</v>
      </c>
      <c r="B9" t="str" cm="1">
        <f t="array" ref="B9">INDEX([1]Sheet1!$A$2:$A$26, INT((ROW()-5)/10)+1)</f>
        <v>Apple</v>
      </c>
      <c r="C9" t="str">
        <f>VLOOKUP(B9, [1]Sheet1!$A:$B, 2, FALSE)</f>
        <v>tech</v>
      </c>
      <c r="D9">
        <f ca="1">VLOOKUP($B9, [1]Sheet1!$A:$F, 3, FALSE) * (RANDBETWEEN(10,25)/100)</f>
        <v>54100800000</v>
      </c>
      <c r="E9">
        <f t="shared" ca="1" si="0"/>
        <v>-54100800000</v>
      </c>
      <c r="F9">
        <f ca="1">VLOOKUP($B9, [1]Sheet1!$A:$F, 4, FALSE) * (RANDBETWEEN(40,70)/100)</f>
        <v>60579000000</v>
      </c>
      <c r="G9">
        <f ca="1">VLOOKUP($B9, [1]Sheet1!$A:$F, 5, FALSE) * (RANDBETWEEN(60,100)/100)</f>
        <v>76160000000</v>
      </c>
      <c r="H9">
        <f t="shared" ca="1" si="1"/>
        <v>89107200000</v>
      </c>
      <c r="I9">
        <f t="shared" ca="1" si="2"/>
        <v>2</v>
      </c>
      <c r="J9">
        <f t="shared" ca="1" si="3"/>
        <v>0.08</v>
      </c>
      <c r="K9">
        <f t="shared" ca="1" si="4"/>
        <v>138021959487.88293</v>
      </c>
      <c r="L9" s="4">
        <f t="shared" ca="1" si="5"/>
        <v>1.1383079647238157</v>
      </c>
      <c r="M9">
        <f t="shared" ca="1" si="6"/>
        <v>1</v>
      </c>
      <c r="N9" t="str">
        <f t="shared" ca="1" si="7"/>
        <v>Accept</v>
      </c>
    </row>
    <row r="10" spans="1:14" x14ac:dyDescent="0.3">
      <c r="A10" t="s">
        <v>14</v>
      </c>
      <c r="B10" t="str" cm="1">
        <f t="array" ref="B10">INDEX([1]Sheet1!$A$2:$A$26, INT((ROW()-5)/10)+1)</f>
        <v>Apple</v>
      </c>
      <c r="C10" t="str">
        <f>VLOOKUP(B10, [1]Sheet1!$A:$B, 2, FALSE)</f>
        <v>tech</v>
      </c>
      <c r="D10">
        <f ca="1">VLOOKUP($B10, [1]Sheet1!$A:$F, 3, FALSE) * (RANDBETWEEN(10,25)/100)</f>
        <v>79070400000</v>
      </c>
      <c r="E10">
        <f t="shared" ca="1" si="0"/>
        <v>-79070400000</v>
      </c>
      <c r="F10">
        <f ca="1">VLOOKUP($B10, [1]Sheet1!$A:$F, 4, FALSE) * (RANDBETWEEN(40,70)/100)</f>
        <v>68580000000</v>
      </c>
      <c r="G10">
        <f ca="1">VLOOKUP($B10, [1]Sheet1!$A:$F, 5, FALSE) * (RANDBETWEEN(60,100)/100)</f>
        <v>105280000000</v>
      </c>
      <c r="H10">
        <f t="shared" ca="1" si="1"/>
        <v>125283200000</v>
      </c>
      <c r="I10">
        <f t="shared" ca="1" si="2"/>
        <v>2</v>
      </c>
      <c r="J10">
        <f t="shared" ca="1" si="3"/>
        <v>0.08</v>
      </c>
      <c r="K10">
        <f t="shared" ca="1" si="4"/>
        <v>174144074419.54987</v>
      </c>
      <c r="L10" s="4">
        <f t="shared" ca="1" si="5"/>
        <v>0.95948879204389459</v>
      </c>
      <c r="M10">
        <f t="shared" ca="1" si="6"/>
        <v>1.0996428571428571</v>
      </c>
      <c r="N10" t="str">
        <f t="shared" ca="1" si="7"/>
        <v>Accept</v>
      </c>
    </row>
    <row r="11" spans="1:14" x14ac:dyDescent="0.3">
      <c r="A11" t="s">
        <v>15</v>
      </c>
      <c r="B11" t="str" cm="1">
        <f t="array" ref="B11">INDEX([1]Sheet1!$A$2:$A$26, INT((ROW()-5)/10)+1)</f>
        <v>Apple</v>
      </c>
      <c r="C11" t="str">
        <f>VLOOKUP(B11, [1]Sheet1!$A:$B, 2, FALSE)</f>
        <v>tech</v>
      </c>
      <c r="D11">
        <f ca="1">VLOOKUP($B11, [1]Sheet1!$A:$F, 3, FALSE) * (RANDBETWEEN(10,25)/100)</f>
        <v>62424000000</v>
      </c>
      <c r="E11">
        <f t="shared" ca="1" si="0"/>
        <v>-62424000000</v>
      </c>
      <c r="F11">
        <f ca="1">VLOOKUP($B11, [1]Sheet1!$A:$F, 4, FALSE) * (RANDBETWEEN(40,70)/100)</f>
        <v>58293000000</v>
      </c>
      <c r="G11">
        <f ca="1">VLOOKUP($B11, [1]Sheet1!$A:$F, 5, FALSE) * (RANDBETWEEN(60,100)/100)</f>
        <v>87360000000</v>
      </c>
      <c r="H11">
        <f t="shared" ca="1" si="1"/>
        <v>103958400000</v>
      </c>
      <c r="I11">
        <f t="shared" ca="1" si="2"/>
        <v>2</v>
      </c>
      <c r="J11">
        <f t="shared" ca="1" si="3"/>
        <v>0.08</v>
      </c>
      <c r="K11">
        <f t="shared" ca="1" si="4"/>
        <v>148973648986.435</v>
      </c>
      <c r="L11" s="4">
        <f t="shared" ca="1" si="5"/>
        <v>1.0284691847314074</v>
      </c>
      <c r="M11">
        <f t="shared" ca="1" si="6"/>
        <v>1.0472870879120879</v>
      </c>
      <c r="N11" t="str">
        <f t="shared" ca="1" si="7"/>
        <v>Accept</v>
      </c>
    </row>
    <row r="12" spans="1:14" x14ac:dyDescent="0.3">
      <c r="A12" t="s">
        <v>16</v>
      </c>
      <c r="B12" t="str" cm="1">
        <f t="array" ref="B12">INDEX([1]Sheet1!$A$2:$A$26, INT((ROW()-5)/10)+1)</f>
        <v>Apple</v>
      </c>
      <c r="C12" t="str">
        <f>VLOOKUP(B12, [1]Sheet1!$A:$B, 2, FALSE)</f>
        <v>tech</v>
      </c>
      <c r="D12">
        <f ca="1">VLOOKUP($B12, [1]Sheet1!$A:$F, 3, FALSE) * (RANDBETWEEN(10,25)/100)</f>
        <v>74908800000</v>
      </c>
      <c r="E12">
        <f t="shared" ca="1" si="0"/>
        <v>-74908800000</v>
      </c>
      <c r="F12">
        <f ca="1">VLOOKUP($B12, [1]Sheet1!$A:$F, 4, FALSE) * (RANDBETWEEN(40,70)/100)</f>
        <v>72009000000</v>
      </c>
      <c r="G12">
        <f ca="1">VLOOKUP($B12, [1]Sheet1!$A:$F, 5, FALSE) * (RANDBETWEEN(60,100)/100)</f>
        <v>103040000000</v>
      </c>
      <c r="H12">
        <f t="shared" ca="1" si="1"/>
        <v>116435199999.99998</v>
      </c>
      <c r="I12">
        <f t="shared" ca="1" si="2"/>
        <v>3</v>
      </c>
      <c r="J12">
        <f t="shared" ca="1" si="3"/>
        <v>0.08</v>
      </c>
      <c r="K12">
        <f t="shared" ca="1" si="4"/>
        <v>172536407793.52734</v>
      </c>
      <c r="L12" s="4">
        <f t="shared" ca="1" si="5"/>
        <v>1.0218571346504493</v>
      </c>
      <c r="M12">
        <f t="shared" ca="1" si="6"/>
        <v>1.0281424689440994</v>
      </c>
      <c r="N12" t="str">
        <f t="shared" ca="1" si="7"/>
        <v>Accept</v>
      </c>
    </row>
    <row r="13" spans="1:14" x14ac:dyDescent="0.3">
      <c r="A13" t="s">
        <v>17</v>
      </c>
      <c r="B13" t="str" cm="1">
        <f t="array" ref="B13">INDEX([1]Sheet1!$A$2:$A$26, INT((ROW()-5)/10)+1)</f>
        <v>Apple</v>
      </c>
      <c r="C13" t="str">
        <f>VLOOKUP(B13, [1]Sheet1!$A:$B, 2, FALSE)</f>
        <v>tech</v>
      </c>
      <c r="D13">
        <f ca="1">VLOOKUP($B13, [1]Sheet1!$A:$F, 3, FALSE) * (RANDBETWEEN(10,25)/100)</f>
        <v>104040000000</v>
      </c>
      <c r="E13">
        <f t="shared" ca="1" si="0"/>
        <v>-104040000000</v>
      </c>
      <c r="F13">
        <f ca="1">VLOOKUP($B13, [1]Sheet1!$A:$F, 4, FALSE) * (RANDBETWEEN(40,70)/100)</f>
        <v>57150000000</v>
      </c>
      <c r="G13">
        <f ca="1">VLOOKUP($B13, [1]Sheet1!$A:$F, 5, FALSE) * (RANDBETWEEN(60,100)/100)</f>
        <v>105280000000</v>
      </c>
      <c r="H13">
        <f t="shared" ca="1" si="1"/>
        <v>124230400000</v>
      </c>
      <c r="I13">
        <f t="shared" ca="1" si="2"/>
        <v>3</v>
      </c>
      <c r="J13">
        <f t="shared" ca="1" si="3"/>
        <v>0.08</v>
      </c>
      <c r="K13">
        <f t="shared" ca="1" si="4"/>
        <v>137755394502.87048</v>
      </c>
      <c r="L13" s="4">
        <f t="shared" ca="1" si="5"/>
        <v>0.62459634181883383</v>
      </c>
      <c r="M13">
        <f t="shared" ca="1" si="6"/>
        <v>1.4453837386018238</v>
      </c>
      <c r="N13" t="str">
        <f t="shared" ca="1" si="7"/>
        <v>Accept</v>
      </c>
    </row>
    <row r="14" spans="1:14" x14ac:dyDescent="0.3">
      <c r="A14" t="s">
        <v>18</v>
      </c>
      <c r="B14" t="str" cm="1">
        <f t="array" ref="B14">INDEX([1]Sheet1!$A$2:$A$26, INT((ROW()-5)/10)+1)</f>
        <v>Apple</v>
      </c>
      <c r="C14" t="str">
        <f>VLOOKUP(B14, [1]Sheet1!$A:$B, 2, FALSE)</f>
        <v>tech</v>
      </c>
      <c r="D14">
        <f ca="1">VLOOKUP($B14, [1]Sheet1!$A:$F, 3, FALSE) * (RANDBETWEEN(10,25)/100)</f>
        <v>104040000000</v>
      </c>
      <c r="E14">
        <f t="shared" ca="1" si="0"/>
        <v>-104040000000</v>
      </c>
      <c r="F14">
        <f ca="1">VLOOKUP($B14, [1]Sheet1!$A:$F, 4, FALSE) * (RANDBETWEEN(40,70)/100)</f>
        <v>78867000000</v>
      </c>
      <c r="G14">
        <f ca="1">VLOOKUP($B14, [1]Sheet1!$A:$F, 5, FALSE) * (RANDBETWEEN(60,100)/100)</f>
        <v>89600000000</v>
      </c>
      <c r="H14">
        <f t="shared" ca="1" si="1"/>
        <v>105728000000</v>
      </c>
      <c r="I14">
        <f t="shared" ca="1" si="2"/>
        <v>2</v>
      </c>
      <c r="J14">
        <f t="shared" ca="1" si="3"/>
        <v>0.08</v>
      </c>
      <c r="K14">
        <f t="shared" ca="1" si="4"/>
        <v>129732853477.6203</v>
      </c>
      <c r="L14" s="4">
        <f t="shared" ca="1" si="5"/>
        <v>0.65184290289814251</v>
      </c>
      <c r="M14">
        <f t="shared" ca="1" si="6"/>
        <v>1.2809486607142857</v>
      </c>
      <c r="N14" t="str">
        <f t="shared" ca="1" si="7"/>
        <v>Accept</v>
      </c>
    </row>
    <row r="15" spans="1:14" x14ac:dyDescent="0.3">
      <c r="A15" t="s">
        <v>19</v>
      </c>
      <c r="B15" t="str" cm="1">
        <f t="array" ref="B15">INDEX([1]Sheet1!$A$2:$A$26, INT((ROW()-5)/10)+1)</f>
        <v>Microsoft</v>
      </c>
      <c r="C15" t="str">
        <f>VLOOKUP(B15, [1]Sheet1!$A:$B, 2, FALSE)</f>
        <v>tech</v>
      </c>
      <c r="D15">
        <f ca="1">VLOOKUP($B15, [1]Sheet1!$A:$F, 3, FALSE) * (RANDBETWEEN(10,25)/100)</f>
        <v>56805840000</v>
      </c>
      <c r="E15">
        <f t="shared" ca="1" si="0"/>
        <v>-56805840000</v>
      </c>
      <c r="F15">
        <f ca="1">VLOOKUP($B15, [1]Sheet1!$A:$F, 4, FALSE) * (RANDBETWEEN(40,70)/100)</f>
        <v>61722000000.000008</v>
      </c>
      <c r="G15">
        <f ca="1">VLOOKUP($B15, [1]Sheet1!$A:$F, 5, FALSE) * (RANDBETWEEN(60,100)/100)</f>
        <v>111451200000</v>
      </c>
      <c r="H15">
        <f t="shared" ca="1" si="1"/>
        <v>130397903999.99998</v>
      </c>
      <c r="I15">
        <f t="shared" ca="1" si="2"/>
        <v>3</v>
      </c>
      <c r="J15">
        <f t="shared" ca="1" si="3"/>
        <v>0.08</v>
      </c>
      <c r="K15">
        <f t="shared" ca="1" si="4"/>
        <v>199409660685.871</v>
      </c>
      <c r="L15" s="4">
        <f t="shared" ca="1" si="5"/>
        <v>1.3424564885193844</v>
      </c>
      <c r="M15">
        <f t="shared" ca="1" si="6"/>
        <v>1</v>
      </c>
      <c r="N15" t="str">
        <f t="shared" ca="1" si="7"/>
        <v>Accept</v>
      </c>
    </row>
    <row r="16" spans="1:14" x14ac:dyDescent="0.3">
      <c r="A16" t="s">
        <v>20</v>
      </c>
      <c r="B16" t="str" cm="1">
        <f t="array" ref="B16">INDEX([1]Sheet1!$A$2:$A$26, INT((ROW()-5)/10)+1)</f>
        <v>Microsoft</v>
      </c>
      <c r="C16" t="str">
        <f>VLOOKUP(B16, [1]Sheet1!$A:$B, 2, FALSE)</f>
        <v>tech</v>
      </c>
      <c r="D16">
        <f ca="1">VLOOKUP($B16, [1]Sheet1!$A:$F, 3, FALSE) * (RANDBETWEEN(10,25)/100)</f>
        <v>56805840000</v>
      </c>
      <c r="E16">
        <f t="shared" ca="1" si="0"/>
        <v>-56805840000</v>
      </c>
      <c r="F16">
        <f ca="1">VLOOKUP($B16, [1]Sheet1!$A:$F, 4, FALSE) * (RANDBETWEEN(40,70)/100)</f>
        <v>49377600000.000008</v>
      </c>
      <c r="G16">
        <f ca="1">VLOOKUP($B16, [1]Sheet1!$A:$F, 5, FALSE) * (RANDBETWEEN(60,100)/100)</f>
        <v>115046400000</v>
      </c>
      <c r="H16">
        <f t="shared" ca="1" si="1"/>
        <v>134604287999.99998</v>
      </c>
      <c r="I16">
        <f t="shared" ca="1" si="2"/>
        <v>4</v>
      </c>
      <c r="J16">
        <f t="shared" ca="1" si="3"/>
        <v>0.1</v>
      </c>
      <c r="K16">
        <f t="shared" ca="1" si="4"/>
        <v>184292750533.43347</v>
      </c>
      <c r="L16" s="4">
        <f t="shared" ca="1" si="5"/>
        <v>1.2430784656146079</v>
      </c>
      <c r="M16">
        <f t="shared" ca="1" si="6"/>
        <v>1.0645673397863817</v>
      </c>
      <c r="N16" t="str">
        <f t="shared" ca="1" si="7"/>
        <v>Accept</v>
      </c>
    </row>
    <row r="17" spans="1:14" x14ac:dyDescent="0.3">
      <c r="A17" t="s">
        <v>21</v>
      </c>
      <c r="B17" t="str" cm="1">
        <f t="array" ref="B17">INDEX([1]Sheet1!$A$2:$A$26, INT((ROW()-5)/10)+1)</f>
        <v>Microsoft</v>
      </c>
      <c r="C17" t="str">
        <f>VLOOKUP(B17, [1]Sheet1!$A:$B, 2, FALSE)</f>
        <v>tech</v>
      </c>
      <c r="D17">
        <f ca="1">VLOOKUP($B17, [1]Sheet1!$A:$F, 3, FALSE) * (RANDBETWEEN(10,25)/100)</f>
        <v>104872320000</v>
      </c>
      <c r="E17">
        <f t="shared" ca="1" si="0"/>
        <v>-104872320000</v>
      </c>
      <c r="F17">
        <f ca="1">VLOOKUP($B17, [1]Sheet1!$A:$F, 4, FALSE) * (RANDBETWEEN(40,70)/100)</f>
        <v>70363080000</v>
      </c>
      <c r="G17">
        <f ca="1">VLOOKUP($B17, [1]Sheet1!$A:$F, 5, FALSE) * (RANDBETWEEN(60,100)/100)</f>
        <v>95872000000</v>
      </c>
      <c r="H17">
        <f t="shared" ca="1" si="1"/>
        <v>110252799999.99998</v>
      </c>
      <c r="I17">
        <f t="shared" ca="1" si="2"/>
        <v>3</v>
      </c>
      <c r="J17">
        <f t="shared" ca="1" si="3"/>
        <v>0.08</v>
      </c>
      <c r="K17">
        <f t="shared" ca="1" si="4"/>
        <v>129995694682.7211</v>
      </c>
      <c r="L17" s="4">
        <f t="shared" ca="1" si="5"/>
        <v>0.62862038651056218</v>
      </c>
      <c r="M17">
        <f t="shared" ca="1" si="6"/>
        <v>1.3599511849132178</v>
      </c>
      <c r="N17" t="str">
        <f t="shared" ca="1" si="7"/>
        <v>Accept</v>
      </c>
    </row>
    <row r="18" spans="1:14" x14ac:dyDescent="0.3">
      <c r="A18" t="s">
        <v>22</v>
      </c>
      <c r="B18" t="str" cm="1">
        <f t="array" ref="B18">INDEX([1]Sheet1!$A$2:$A$26, INT((ROW()-5)/10)+1)</f>
        <v>Microsoft</v>
      </c>
      <c r="C18" t="str">
        <f>VLOOKUP(B18, [1]Sheet1!$A:$B, 2, FALSE)</f>
        <v>tech</v>
      </c>
      <c r="D18">
        <f ca="1">VLOOKUP($B18, [1]Sheet1!$A:$F, 3, FALSE) * (RANDBETWEEN(10,25)/100)</f>
        <v>100502640000</v>
      </c>
      <c r="E18">
        <f t="shared" ca="1" si="0"/>
        <v>-100502640000</v>
      </c>
      <c r="F18">
        <f ca="1">VLOOKUP($B18, [1]Sheet1!$A:$F, 4, FALSE) * (RANDBETWEEN(40,70)/100)</f>
        <v>67894200000.000015</v>
      </c>
      <c r="G18">
        <f ca="1">VLOOKUP($B18, [1]Sheet1!$A:$F, 5, FALSE) * (RANDBETWEEN(60,100)/100)</f>
        <v>75499200000</v>
      </c>
      <c r="H18">
        <f t="shared" ca="1" si="1"/>
        <v>86069088000.000015</v>
      </c>
      <c r="I18">
        <f t="shared" ca="1" si="2"/>
        <v>4</v>
      </c>
      <c r="J18">
        <f t="shared" ca="1" si="3"/>
        <v>0.1</v>
      </c>
      <c r="K18">
        <f t="shared" ca="1" si="4"/>
        <v>88280372772.351593</v>
      </c>
      <c r="L18" s="4">
        <f t="shared" ca="1" si="5"/>
        <v>0.53132002017272351</v>
      </c>
      <c r="M18">
        <f t="shared" ca="1" si="6"/>
        <v>1.4319044440205988</v>
      </c>
      <c r="N18" t="str">
        <f t="shared" ca="1" si="7"/>
        <v>Accept</v>
      </c>
    </row>
    <row r="19" spans="1:14" x14ac:dyDescent="0.3">
      <c r="A19" t="s">
        <v>23</v>
      </c>
      <c r="B19" t="str" cm="1">
        <f t="array" ref="B19">INDEX([1]Sheet1!$A$2:$A$26, INT((ROW()-5)/10)+1)</f>
        <v>Microsoft</v>
      </c>
      <c r="C19" t="str">
        <f>VLOOKUP(B19, [1]Sheet1!$A:$B, 2, FALSE)</f>
        <v>tech</v>
      </c>
      <c r="D19">
        <f ca="1">VLOOKUP($B19, [1]Sheet1!$A:$F, 3, FALSE) * (RANDBETWEEN(10,25)/100)</f>
        <v>109242000000</v>
      </c>
      <c r="E19">
        <f t="shared" ca="1" si="0"/>
        <v>-109242000000</v>
      </c>
      <c r="F19">
        <f ca="1">VLOOKUP($B19, [1]Sheet1!$A:$F, 4, FALSE) * (RANDBETWEEN(40,70)/100)</f>
        <v>85176360000</v>
      </c>
      <c r="G19">
        <f ca="1">VLOOKUP($B19, [1]Sheet1!$A:$F, 5, FALSE) * (RANDBETWEEN(60,100)/100)</f>
        <v>101864000000</v>
      </c>
      <c r="H19">
        <f t="shared" ca="1" si="1"/>
        <v>113069040000.00002</v>
      </c>
      <c r="I19">
        <f t="shared" ca="1" si="2"/>
        <v>2</v>
      </c>
      <c r="J19">
        <f t="shared" ca="1" si="3"/>
        <v>0.08</v>
      </c>
      <c r="K19">
        <f t="shared" ca="1" si="4"/>
        <v>146714811004.42004</v>
      </c>
      <c r="L19" s="4">
        <f t="shared" ca="1" si="5"/>
        <v>0.69219470299785568</v>
      </c>
      <c r="M19">
        <f t="shared" ca="1" si="6"/>
        <v>1.2362526505929474</v>
      </c>
      <c r="N19" t="str">
        <f t="shared" ca="1" si="7"/>
        <v>Accept</v>
      </c>
    </row>
    <row r="20" spans="1:14" x14ac:dyDescent="0.3">
      <c r="A20" t="s">
        <v>29</v>
      </c>
      <c r="B20" t="str" cm="1">
        <f t="array" ref="B20">INDEX([1]Sheet1!$A$2:$A$26, INT((ROW()-5)/10)+1)</f>
        <v>Microsoft</v>
      </c>
      <c r="C20" t="str">
        <f>VLOOKUP(B20, [1]Sheet1!$A:$B, 2, FALSE)</f>
        <v>tech</v>
      </c>
      <c r="D20">
        <f ca="1">VLOOKUP($B20, [1]Sheet1!$A:$F, 3, FALSE) * (RANDBETWEEN(10,25)/100)</f>
        <v>83023920000</v>
      </c>
      <c r="E20">
        <f t="shared" ca="1" si="0"/>
        <v>-83023920000</v>
      </c>
      <c r="F20">
        <f ca="1">VLOOKUP($B20, [1]Sheet1!$A:$F, 4, FALSE) * (RANDBETWEEN(40,70)/100)</f>
        <v>81473040000.000015</v>
      </c>
      <c r="G20">
        <f ca="1">VLOOKUP($B20, [1]Sheet1!$A:$F, 5, FALSE) * (RANDBETWEEN(60,100)/100)</f>
        <v>74300800000</v>
      </c>
      <c r="H20">
        <f t="shared" ca="1" si="1"/>
        <v>78758848000</v>
      </c>
      <c r="I20">
        <f t="shared" ca="1" si="2"/>
        <v>3</v>
      </c>
      <c r="J20">
        <f t="shared" ca="1" si="3"/>
        <v>0.08</v>
      </c>
      <c r="K20">
        <f t="shared" ca="1" si="4"/>
        <v>118636353027.48566</v>
      </c>
      <c r="L20" s="4">
        <f t="shared" ca="1" si="5"/>
        <v>0.78215963722891191</v>
      </c>
      <c r="M20">
        <f t="shared" ca="1" si="6"/>
        <v>1.0208729919462507</v>
      </c>
      <c r="N20" t="str">
        <f t="shared" ca="1" si="7"/>
        <v>Accept</v>
      </c>
    </row>
    <row r="21" spans="1:14" x14ac:dyDescent="0.3">
      <c r="A21" t="s">
        <v>30</v>
      </c>
      <c r="B21" t="str" cm="1">
        <f t="array" ref="B21">INDEX([1]Sheet1!$A$2:$A$26, INT((ROW()-5)/10)+1)</f>
        <v>Microsoft</v>
      </c>
      <c r="C21" t="str">
        <f>VLOOKUP(B21, [1]Sheet1!$A:$B, 2, FALSE)</f>
        <v>tech</v>
      </c>
      <c r="D21">
        <f ca="1">VLOOKUP($B21, [1]Sheet1!$A:$F, 3, FALSE) * (RANDBETWEEN(10,25)/100)</f>
        <v>83023920000</v>
      </c>
      <c r="E21">
        <f t="shared" ca="1" si="0"/>
        <v>-83023920000</v>
      </c>
      <c r="F21">
        <f ca="1">VLOOKUP($B21, [1]Sheet1!$A:$F, 4, FALSE) * (RANDBETWEEN(40,70)/100)</f>
        <v>62956440000.000008</v>
      </c>
      <c r="G21">
        <f ca="1">VLOOKUP($B21, [1]Sheet1!$A:$F, 5, FALSE) * (RANDBETWEEN(60,100)/100)</f>
        <v>103062400000</v>
      </c>
      <c r="H21">
        <f t="shared" ca="1" si="1"/>
        <v>117491136000.00002</v>
      </c>
      <c r="I21">
        <f t="shared" ca="1" si="2"/>
        <v>3</v>
      </c>
      <c r="J21">
        <f t="shared" ca="1" si="3"/>
        <v>0.08</v>
      </c>
      <c r="K21">
        <f t="shared" ca="1" si="4"/>
        <v>156896728224.35605</v>
      </c>
      <c r="L21" s="4">
        <f t="shared" ca="1" si="5"/>
        <v>0.84601576545270052</v>
      </c>
      <c r="M21">
        <f t="shared" ca="1" si="6"/>
        <v>1.1947119415033998</v>
      </c>
      <c r="N21" t="str">
        <f t="shared" ca="1" si="7"/>
        <v>Accept</v>
      </c>
    </row>
    <row r="22" spans="1:14" x14ac:dyDescent="0.3">
      <c r="A22" t="s">
        <v>31</v>
      </c>
      <c r="B22" t="str" cm="1">
        <f t="array" ref="B22">INDEX([1]Sheet1!$A$2:$A$26, INT((ROW()-5)/10)+1)</f>
        <v>Microsoft</v>
      </c>
      <c r="C22" t="str">
        <f>VLOOKUP(B22, [1]Sheet1!$A:$B, 2, FALSE)</f>
        <v>tech</v>
      </c>
      <c r="D22">
        <f ca="1">VLOOKUP($B22, [1]Sheet1!$A:$F, 3, FALSE) * (RANDBETWEEN(10,25)/100)</f>
        <v>78654240000</v>
      </c>
      <c r="E22">
        <f t="shared" ca="1" si="0"/>
        <v>-78654240000</v>
      </c>
      <c r="F22">
        <f ca="1">VLOOKUP($B22, [1]Sheet1!$A:$F, 4, FALSE) * (RANDBETWEEN(40,70)/100)</f>
        <v>71597520000</v>
      </c>
      <c r="G22">
        <f ca="1">VLOOKUP($B22, [1]Sheet1!$A:$F, 5, FALSE) * (RANDBETWEEN(60,100)/100)</f>
        <v>117443200000</v>
      </c>
      <c r="H22">
        <f t="shared" ca="1" si="1"/>
        <v>128013088000.00002</v>
      </c>
      <c r="I22">
        <f t="shared" ca="1" si="2"/>
        <v>2</v>
      </c>
      <c r="J22">
        <f t="shared" ca="1" si="3"/>
        <v>0.08</v>
      </c>
      <c r="K22">
        <f t="shared" ca="1" si="4"/>
        <v>189949291067.41858</v>
      </c>
      <c r="L22" s="4">
        <f t="shared" ca="1" si="5"/>
        <v>1.0361625395890259</v>
      </c>
      <c r="M22">
        <f t="shared" ca="1" si="6"/>
        <v>1.0600862374322226</v>
      </c>
      <c r="N22" t="str">
        <f t="shared" ca="1" si="7"/>
        <v>Accept</v>
      </c>
    </row>
    <row r="23" spans="1:14" x14ac:dyDescent="0.3">
      <c r="A23" t="s">
        <v>32</v>
      </c>
      <c r="B23" t="str" cm="1">
        <f t="array" ref="B23">INDEX([1]Sheet1!$A$2:$A$26, INT((ROW()-5)/10)+1)</f>
        <v>Microsoft</v>
      </c>
      <c r="C23" t="str">
        <f>VLOOKUP(B23, [1]Sheet1!$A:$B, 2, FALSE)</f>
        <v>tech</v>
      </c>
      <c r="D23">
        <f ca="1">VLOOKUP($B23, [1]Sheet1!$A:$F, 3, FALSE) * (RANDBETWEEN(10,25)/100)</f>
        <v>109242000000</v>
      </c>
      <c r="E23">
        <f t="shared" ca="1" si="0"/>
        <v>-109242000000</v>
      </c>
      <c r="F23">
        <f ca="1">VLOOKUP($B23, [1]Sheet1!$A:$F, 4, FALSE) * (RANDBETWEEN(40,70)/100)</f>
        <v>71597520000</v>
      </c>
      <c r="G23">
        <f ca="1">VLOOKUP($B23, [1]Sheet1!$A:$F, 5, FALSE) * (RANDBETWEEN(60,100)/100)</f>
        <v>80292800000</v>
      </c>
      <c r="H23">
        <f t="shared" ca="1" si="1"/>
        <v>89125008000.000015</v>
      </c>
      <c r="I23">
        <f t="shared" ca="1" si="2"/>
        <v>2</v>
      </c>
      <c r="J23">
        <f t="shared" ca="1" si="3"/>
        <v>0.08</v>
      </c>
      <c r="K23">
        <f t="shared" ca="1" si="4"/>
        <v>96640439262.307556</v>
      </c>
      <c r="L23" s="4">
        <f t="shared" ca="1" si="5"/>
        <v>0.50442830828240814</v>
      </c>
      <c r="M23">
        <f t="shared" ca="1" si="6"/>
        <v>1.4688400454337125</v>
      </c>
      <c r="N23" t="str">
        <f t="shared" ca="1" si="7"/>
        <v>Accept</v>
      </c>
    </row>
    <row r="24" spans="1:14" x14ac:dyDescent="0.3">
      <c r="A24" t="s">
        <v>33</v>
      </c>
      <c r="B24" t="str" cm="1">
        <f t="array" ref="B24">INDEX([1]Sheet1!$A$2:$A$26, INT((ROW()-5)/10)+1)</f>
        <v>Microsoft</v>
      </c>
      <c r="C24" t="str">
        <f>VLOOKUP(B24, [1]Sheet1!$A:$B, 2, FALSE)</f>
        <v>tech</v>
      </c>
      <c r="D24">
        <f ca="1">VLOOKUP($B24, [1]Sheet1!$A:$F, 3, FALSE) * (RANDBETWEEN(10,25)/100)</f>
        <v>104872320000</v>
      </c>
      <c r="E24">
        <f t="shared" ca="1" si="0"/>
        <v>-104872320000</v>
      </c>
      <c r="F24">
        <f ca="1">VLOOKUP($B24, [1]Sheet1!$A:$F, 4, FALSE) * (RANDBETWEEN(40,70)/100)</f>
        <v>67894200000.000015</v>
      </c>
      <c r="G24">
        <f ca="1">VLOOKUP($B24, [1]Sheet1!$A:$F, 5, FALSE) * (RANDBETWEEN(60,100)/100)</f>
        <v>110252800000</v>
      </c>
      <c r="H24">
        <f t="shared" ca="1" si="1"/>
        <v>125688192000.00002</v>
      </c>
      <c r="I24">
        <f t="shared" ca="1" si="2"/>
        <v>2</v>
      </c>
      <c r="J24">
        <f t="shared" ca="1" si="3"/>
        <v>0.08</v>
      </c>
      <c r="K24">
        <f t="shared" ca="1" si="4"/>
        <v>152292024612.10181</v>
      </c>
      <c r="L24" s="4">
        <f t="shared" ca="1" si="5"/>
        <v>0.68951557311438161</v>
      </c>
      <c r="M24">
        <f t="shared" ca="1" si="6"/>
        <v>1.3353939310384859</v>
      </c>
      <c r="N24" t="str">
        <f t="shared" ca="1" si="7"/>
        <v>Accept</v>
      </c>
    </row>
    <row r="25" spans="1:14" x14ac:dyDescent="0.3">
      <c r="A25" t="s">
        <v>34</v>
      </c>
      <c r="B25" t="str" cm="1">
        <f t="array" ref="B25">INDEX([1]Sheet1!$A$2:$A$26, INT((ROW()-5)/10)+1)</f>
        <v>Infosys</v>
      </c>
      <c r="C25" t="str">
        <f>VLOOKUP(B25, [1]Sheet1!$A:$B, 2, FALSE)</f>
        <v>tech</v>
      </c>
      <c r="D25">
        <f ca="1">VLOOKUP($B25, [1]Sheet1!$A:$F, 3, FALSE) * (RANDBETWEEN(10,25)/100)</f>
        <v>81359280000</v>
      </c>
      <c r="E25">
        <f t="shared" ca="1" si="0"/>
        <v>-81359280000</v>
      </c>
      <c r="F25">
        <f ca="1">VLOOKUP($B25, [1]Sheet1!$A:$F, 4, FALSE) * (RANDBETWEEN(40,70)/100)</f>
        <v>86273640000.000015</v>
      </c>
      <c r="G25">
        <f ca="1">VLOOKUP($B25, [1]Sheet1!$A:$F, 5, FALSE) * (RANDBETWEEN(60,100)/100)</f>
        <v>78120000000</v>
      </c>
      <c r="H25">
        <f t="shared" ca="1" si="1"/>
        <v>90619200000</v>
      </c>
      <c r="I25">
        <f t="shared" ca="1" si="2"/>
        <v>3</v>
      </c>
      <c r="J25">
        <f t="shared" ca="1" si="3"/>
        <v>0.08</v>
      </c>
      <c r="K25">
        <f t="shared" ca="1" si="4"/>
        <v>137435471257.43027</v>
      </c>
      <c r="L25" s="4">
        <f t="shared" ca="1" si="5"/>
        <v>0.88390934659171849</v>
      </c>
      <c r="M25">
        <f t="shared" ca="1" si="6"/>
        <v>1</v>
      </c>
      <c r="N25" t="str">
        <f t="shared" ca="1" si="7"/>
        <v>Accept</v>
      </c>
    </row>
    <row r="26" spans="1:14" x14ac:dyDescent="0.3">
      <c r="A26" t="s">
        <v>35</v>
      </c>
      <c r="B26" t="str" cm="1">
        <f t="array" ref="B26">INDEX([1]Sheet1!$A$2:$A$26, INT((ROW()-5)/10)+1)</f>
        <v>Infosys</v>
      </c>
      <c r="C26" t="str">
        <f>VLOOKUP(B26, [1]Sheet1!$A:$B, 2, FALSE)</f>
        <v>tech</v>
      </c>
      <c r="D26">
        <f ca="1">VLOOKUP($B26, [1]Sheet1!$A:$F, 3, FALSE) * (RANDBETWEEN(10,25)/100)</f>
        <v>47858400000</v>
      </c>
      <c r="E26">
        <f t="shared" ca="1" si="0"/>
        <v>-47858400000</v>
      </c>
      <c r="F26">
        <f ca="1">VLOOKUP($B26, [1]Sheet1!$A:$F, 4, FALSE) * (RANDBETWEEN(40,70)/100)</f>
        <v>54555390000.000008</v>
      </c>
      <c r="G26">
        <f ca="1">VLOOKUP($B26, [1]Sheet1!$A:$F, 5, FALSE) * (RANDBETWEEN(60,100)/100)</f>
        <v>65620800000</v>
      </c>
      <c r="H26">
        <f t="shared" ca="1" si="1"/>
        <v>75463920000</v>
      </c>
      <c r="I26">
        <f ca="1">IF(C26="tech", RANDBETWEEN(2,4),
 IF(C26="energy", RANDBETWEEN(5,8),
 IF(C26="finance", RANDBETWEEN(3,6),
 IF(C26="FMCG", RANDBETWEEN(2,5),
 RANDBETWEEN(4,7)))))</f>
        <v>4</v>
      </c>
      <c r="J26">
        <f t="shared" ca="1" si="3"/>
        <v>0.1</v>
      </c>
      <c r="K26">
        <f t="shared" ca="1" si="4"/>
        <v>112666635236.66415</v>
      </c>
      <c r="L26" s="4">
        <f t="shared" ca="1" si="5"/>
        <v>1.1307475156601114</v>
      </c>
      <c r="M26">
        <f t="shared" ca="1" si="6"/>
        <v>1</v>
      </c>
      <c r="N26" t="str">
        <f t="shared" ca="1" si="7"/>
        <v>Accept</v>
      </c>
    </row>
    <row r="27" spans="1:14" x14ac:dyDescent="0.3">
      <c r="A27" t="s">
        <v>36</v>
      </c>
      <c r="B27" t="str" cm="1">
        <f t="array" ref="B27">INDEX([1]Sheet1!$A$2:$A$26, INT((ROW()-5)/10)+1)</f>
        <v>Infosys</v>
      </c>
      <c r="C27" t="str">
        <f>VLOOKUP(B27, [1]Sheet1!$A:$B, 2, FALSE)</f>
        <v>tech</v>
      </c>
      <c r="D27">
        <f ca="1">VLOOKUP($B27, [1]Sheet1!$A:$F, 3, FALSE) * (RANDBETWEEN(10,25)/100)</f>
        <v>110074319999.99998</v>
      </c>
      <c r="E27">
        <f t="shared" ca="1" si="0"/>
        <v>-110074319999.99998</v>
      </c>
      <c r="F27">
        <f ca="1">VLOOKUP($B27, [1]Sheet1!$A:$F, 4, FALSE) * (RANDBETWEEN(40,70)/100)</f>
        <v>71048880000.000015</v>
      </c>
      <c r="G27">
        <f ca="1">VLOOKUP($B27, [1]Sheet1!$A:$F, 5, FALSE) * (RANDBETWEEN(60,100)/100)</f>
        <v>79161600000</v>
      </c>
      <c r="H27">
        <f t="shared" ca="1" si="1"/>
        <v>88660992000.000015</v>
      </c>
      <c r="I27">
        <f t="shared" ca="1" si="2"/>
        <v>3</v>
      </c>
      <c r="J27">
        <f t="shared" ca="1" si="3"/>
        <v>0.08</v>
      </c>
      <c r="K27">
        <f t="shared" ca="1" si="4"/>
        <v>93961946727.633011</v>
      </c>
      <c r="L27" s="4">
        <f t="shared" ca="1" si="5"/>
        <v>0.49051340078947425</v>
      </c>
      <c r="M27">
        <f t="shared" ca="1" si="6"/>
        <v>1.4929844773223377</v>
      </c>
      <c r="N27" t="str">
        <f t="shared" ca="1" si="7"/>
        <v>Accept</v>
      </c>
    </row>
    <row r="28" spans="1:14" x14ac:dyDescent="0.3">
      <c r="A28" t="s">
        <v>37</v>
      </c>
      <c r="B28" t="str" cm="1">
        <f t="array" ref="B28">INDEX([1]Sheet1!$A$2:$A$26, INT((ROW()-5)/10)+1)</f>
        <v>Infosys</v>
      </c>
      <c r="C28" t="str">
        <f>VLOOKUP(B28, [1]Sheet1!$A:$B, 2, FALSE)</f>
        <v>tech</v>
      </c>
      <c r="D28">
        <f ca="1">VLOOKUP($B28, [1]Sheet1!$A:$F, 3, FALSE) * (RANDBETWEEN(10,25)/100)</f>
        <v>110074319999.99998</v>
      </c>
      <c r="E28">
        <f ca="1">-D28</f>
        <v>-110074319999.99998</v>
      </c>
      <c r="F28">
        <f ca="1">VLOOKUP($B28, [1]Sheet1!$A:$F, 4, FALSE) * (RANDBETWEEN(40,70)/100)</f>
        <v>79929990000.000015</v>
      </c>
      <c r="G28">
        <f ca="1">VLOOKUP($B28, [1]Sheet1!$A:$F, 5, FALSE) * (RANDBETWEEN(60,100)/100)</f>
        <v>94785600000</v>
      </c>
      <c r="H28">
        <f t="shared" ca="1" si="1"/>
        <v>99524880000</v>
      </c>
      <c r="I28">
        <f t="shared" ca="1" si="2"/>
        <v>3</v>
      </c>
      <c r="J28">
        <f t="shared" ca="1" si="3"/>
        <v>0.08</v>
      </c>
      <c r="K28">
        <f t="shared" ca="1" si="4"/>
        <v>124204363013.26018</v>
      </c>
      <c r="L28" s="4">
        <f t="shared" ca="1" si="5"/>
        <v>0.609891128727861</v>
      </c>
      <c r="M28">
        <f t="shared" ca="1" si="6"/>
        <v>1.3180264723755504</v>
      </c>
      <c r="N28" t="str">
        <f t="shared" ca="1" si="7"/>
        <v>Accept</v>
      </c>
    </row>
    <row r="29" spans="1:14" x14ac:dyDescent="0.3">
      <c r="A29" t="s">
        <v>38</v>
      </c>
      <c r="B29" t="str" cm="1">
        <f t="array" ref="B29">INDEX([1]Sheet1!$A$2:$A$26, INT((ROW()-5)/10)+1)</f>
        <v>Infosys</v>
      </c>
      <c r="C29" t="str">
        <f>VLOOKUP(B29, [1]Sheet1!$A:$B, 2, FALSE)</f>
        <v>tech</v>
      </c>
      <c r="D29">
        <f ca="1">VLOOKUP($B29, [1]Sheet1!$A:$F, 3, FALSE) * (RANDBETWEEN(10,25)/100)</f>
        <v>67001760000</v>
      </c>
      <c r="E29">
        <f t="shared" ca="1" si="0"/>
        <v>-67001760000</v>
      </c>
      <c r="F29">
        <f ca="1">VLOOKUP($B29, [1]Sheet1!$A:$F, 4, FALSE) * (RANDBETWEEN(40,70)/100)</f>
        <v>63436500000.000008</v>
      </c>
      <c r="G29">
        <f ca="1">VLOOKUP($B29, [1]Sheet1!$A:$F, 5, FALSE) * (RANDBETWEEN(60,100)/100)</f>
        <v>96868800000</v>
      </c>
      <c r="H29">
        <f ca="1">G29 * (1 + RANDBETWEEN(5,20)/100)</f>
        <v>110430432000.00002</v>
      </c>
      <c r="I29">
        <f t="shared" ca="1" si="2"/>
        <v>4</v>
      </c>
      <c r="J29">
        <f t="shared" ca="1" si="3"/>
        <v>0.1</v>
      </c>
      <c r="K29">
        <f t="shared" ca="1" si="4"/>
        <v>153692662990.23288</v>
      </c>
      <c r="L29" s="4">
        <f t="shared" ca="1" si="5"/>
        <v>1.0466601611979418</v>
      </c>
      <c r="M29">
        <f t="shared" ca="1" si="6"/>
        <v>1.0368050393934889</v>
      </c>
      <c r="N29" t="str">
        <f t="shared" ca="1" si="7"/>
        <v>Accept</v>
      </c>
    </row>
    <row r="30" spans="1:14" x14ac:dyDescent="0.3">
      <c r="A30" t="s">
        <v>39</v>
      </c>
      <c r="B30" t="str" cm="1">
        <f t="array" ref="B30">INDEX([1]Sheet1!$A$2:$A$26, INT((ROW()-5)/10)+1)</f>
        <v>Infosys</v>
      </c>
      <c r="C30" t="str">
        <f>VLOOKUP(B30, [1]Sheet1!$A:$B, 2, FALSE)</f>
        <v>tech</v>
      </c>
      <c r="D30">
        <f ca="1">VLOOKUP($B30, [1]Sheet1!$A:$F, 3, FALSE) * (RANDBETWEEN(10,25)/100)</f>
        <v>100502639999.99998</v>
      </c>
      <c r="E30">
        <f t="shared" ca="1" si="0"/>
        <v>-100502639999.99998</v>
      </c>
      <c r="F30">
        <f ca="1">VLOOKUP($B30, [1]Sheet1!$A:$F, 4, FALSE) * (RANDBETWEEN(40,70)/100)</f>
        <v>65973960000.000008</v>
      </c>
      <c r="G30">
        <f ca="1">VLOOKUP($B30, [1]Sheet1!$A:$F, 5, FALSE) * (RANDBETWEEN(60,100)/100)</f>
        <v>103118400000</v>
      </c>
      <c r="H30">
        <f t="shared" ca="1" si="1"/>
        <v>113430240000.00002</v>
      </c>
      <c r="I30">
        <f t="shared" ca="1" si="2"/>
        <v>2</v>
      </c>
      <c r="J30">
        <f t="shared" ca="1" si="3"/>
        <v>0.08</v>
      </c>
      <c r="K30">
        <f t="shared" ca="1" si="4"/>
        <v>139036349026.06311</v>
      </c>
      <c r="L30" s="4">
        <f t="shared" ca="1" si="5"/>
        <v>0.67297935705422485</v>
      </c>
      <c r="M30">
        <f t="shared" ca="1" si="6"/>
        <v>1.3348449937159612</v>
      </c>
      <c r="N30" t="str">
        <f t="shared" ca="1" si="7"/>
        <v>Accept</v>
      </c>
    </row>
    <row r="31" spans="1:14" x14ac:dyDescent="0.3">
      <c r="A31" t="s">
        <v>40</v>
      </c>
      <c r="B31" t="str" cm="1">
        <f t="array" ref="B31">INDEX([1]Sheet1!$A$2:$A$26, INT((ROW()-5)/10)+1)</f>
        <v>Infosys</v>
      </c>
      <c r="C31" t="str">
        <f>VLOOKUP(B31, [1]Sheet1!$A:$B, 2, FALSE)</f>
        <v>tech</v>
      </c>
      <c r="D31">
        <f ca="1">VLOOKUP($B31, [1]Sheet1!$A:$F, 3, FALSE) * (RANDBETWEEN(10,25)/100)</f>
        <v>52644239999.999992</v>
      </c>
      <c r="E31">
        <f t="shared" ca="1" si="0"/>
        <v>-52644239999.999992</v>
      </c>
      <c r="F31">
        <f ca="1">VLOOKUP($B31, [1]Sheet1!$A:$F, 4, FALSE) * (RANDBETWEEN(40,70)/100)</f>
        <v>86273640000.000015</v>
      </c>
      <c r="G31">
        <f ca="1">VLOOKUP($B31, [1]Sheet1!$A:$F, 5, FALSE) * (RANDBETWEEN(60,100)/100)</f>
        <v>73953600000</v>
      </c>
      <c r="H31">
        <f t="shared" ca="1" si="1"/>
        <v>88004784000</v>
      </c>
      <c r="I31">
        <f t="shared" ca="1" si="2"/>
        <v>2</v>
      </c>
      <c r="J31">
        <f t="shared" ca="1" si="3"/>
        <v>0.08</v>
      </c>
      <c r="K31">
        <f t="shared" ca="1" si="4"/>
        <v>160503087084.28595</v>
      </c>
      <c r="L31" s="4">
        <f t="shared" ca="1" si="5"/>
        <v>1.477962993420495</v>
      </c>
      <c r="M31">
        <f t="shared" ca="1" si="6"/>
        <v>1</v>
      </c>
      <c r="N31" t="str">
        <f t="shared" ca="1" si="7"/>
        <v>Accept</v>
      </c>
    </row>
    <row r="32" spans="1:14" x14ac:dyDescent="0.3">
      <c r="A32" t="s">
        <v>41</v>
      </c>
      <c r="B32" t="str" cm="1">
        <f t="array" ref="B32">INDEX([1]Sheet1!$A$2:$A$26, INT((ROW()-5)/10)+1)</f>
        <v>Infosys</v>
      </c>
      <c r="C32" t="str">
        <f>VLOOKUP(B32, [1]Sheet1!$A:$B, 2, FALSE)</f>
        <v>tech</v>
      </c>
      <c r="D32">
        <f ca="1">VLOOKUP($B32, [1]Sheet1!$A:$F, 3, FALSE) * (RANDBETWEEN(10,25)/100)</f>
        <v>57430079999.999992</v>
      </c>
      <c r="E32">
        <f t="shared" ca="1" si="0"/>
        <v>-57430079999.999992</v>
      </c>
      <c r="F32">
        <f ca="1">VLOOKUP($B32, [1]Sheet1!$A:$F, 4, FALSE) * (RANDBETWEEN(40,70)/100)</f>
        <v>64705230000.000008</v>
      </c>
      <c r="G32">
        <f ca="1">VLOOKUP($B32, [1]Sheet1!$A:$F, 5, FALSE) * (RANDBETWEEN(60,100)/100)</f>
        <v>86452800000</v>
      </c>
      <c r="H32">
        <f t="shared" ca="1" si="1"/>
        <v>91639968000</v>
      </c>
      <c r="I32">
        <f t="shared" ca="1" si="2"/>
        <v>4</v>
      </c>
      <c r="J32">
        <f t="shared" ca="1" si="3"/>
        <v>0.1</v>
      </c>
      <c r="K32">
        <f t="shared" ca="1" si="4"/>
        <v>141691915717.50562</v>
      </c>
      <c r="L32" s="4">
        <f t="shared" ca="1" si="5"/>
        <v>1.1634263121970099</v>
      </c>
      <c r="M32">
        <f t="shared" ca="1" si="6"/>
        <v>1</v>
      </c>
      <c r="N32" t="str">
        <f t="shared" ca="1" si="7"/>
        <v>Accept</v>
      </c>
    </row>
    <row r="33" spans="1:14" x14ac:dyDescent="0.3">
      <c r="A33" t="s">
        <v>42</v>
      </c>
      <c r="B33" t="str" cm="1">
        <f t="array" ref="B33">INDEX([1]Sheet1!$A$2:$A$26, INT((ROW()-5)/10)+1)</f>
        <v>Infosys</v>
      </c>
      <c r="C33" t="str">
        <f>VLOOKUP(B33, [1]Sheet1!$A:$B, 2, FALSE)</f>
        <v>tech</v>
      </c>
      <c r="D33">
        <f ca="1">VLOOKUP($B33, [1]Sheet1!$A:$F, 3, FALSE) * (RANDBETWEEN(10,25)/100)</f>
        <v>119645999999.99998</v>
      </c>
      <c r="E33">
        <f t="shared" ca="1" si="0"/>
        <v>-119645999999.99998</v>
      </c>
      <c r="F33">
        <f ca="1">VLOOKUP($B33, [1]Sheet1!$A:$F, 4, FALSE) * (RANDBETWEEN(40,70)/100)</f>
        <v>78661260000.000015</v>
      </c>
      <c r="G33">
        <f ca="1">VLOOKUP($B33, [1]Sheet1!$A:$F, 5, FALSE) * (RANDBETWEEN(60,100)/100)</f>
        <v>63537600000</v>
      </c>
      <c r="H33">
        <f t="shared" ca="1" si="1"/>
        <v>73068240000</v>
      </c>
      <c r="I33">
        <f t="shared" ca="1" si="2"/>
        <v>3</v>
      </c>
      <c r="J33">
        <f t="shared" ca="1" si="3"/>
        <v>0.08</v>
      </c>
      <c r="K33">
        <f t="shared" ca="1" si="4"/>
        <v>65665675735.406204</v>
      </c>
      <c r="L33" s="4">
        <f t="shared" ca="1" si="5"/>
        <v>0.37025832942211712</v>
      </c>
      <c r="M33">
        <f t="shared" ca="1" si="6"/>
        <v>1.6450470272720401</v>
      </c>
      <c r="N33" t="str">
        <f t="shared" ca="1" si="7"/>
        <v>Accept</v>
      </c>
    </row>
    <row r="34" spans="1:14" x14ac:dyDescent="0.3">
      <c r="A34" t="s">
        <v>43</v>
      </c>
      <c r="B34" t="str" cm="1">
        <f t="array" ref="B34">INDEX([1]Sheet1!$A$2:$A$26, INT((ROW()-5)/10)+1)</f>
        <v>Infosys</v>
      </c>
      <c r="C34" t="str">
        <f>VLOOKUP(B34, [1]Sheet1!$A:$B, 2, FALSE)</f>
        <v>tech</v>
      </c>
      <c r="D34">
        <f ca="1">VLOOKUP($B34, [1]Sheet1!$A:$F, 3, FALSE) * (RANDBETWEEN(10,25)/100)</f>
        <v>105288479999.99998</v>
      </c>
      <c r="E34">
        <f t="shared" ca="1" si="0"/>
        <v>-105288479999.99998</v>
      </c>
      <c r="F34">
        <f ca="1">VLOOKUP($B34, [1]Sheet1!$A:$F, 4, FALSE) * (RANDBETWEEN(40,70)/100)</f>
        <v>53286660000.000008</v>
      </c>
      <c r="G34">
        <f ca="1">VLOOKUP($B34, [1]Sheet1!$A:$F, 5, FALSE) * (RANDBETWEEN(60,100)/100)</f>
        <v>97910400000</v>
      </c>
      <c r="H34">
        <f t="shared" ca="1" si="1"/>
        <v>104764128000</v>
      </c>
      <c r="I34">
        <f t="shared" ca="1" si="2"/>
        <v>2</v>
      </c>
      <c r="J34">
        <f t="shared" ca="1" si="3"/>
        <v>0.08</v>
      </c>
      <c r="K34">
        <f t="shared" ca="1" si="4"/>
        <v>111158549340.03963</v>
      </c>
      <c r="L34" s="4">
        <f t="shared" ca="1" si="5"/>
        <v>0.53459386997466996</v>
      </c>
      <c r="M34">
        <f t="shared" ca="1" si="6"/>
        <v>1.5311164084714184</v>
      </c>
      <c r="N34" t="str">
        <f t="shared" ca="1" si="7"/>
        <v>Accept</v>
      </c>
    </row>
    <row r="35" spans="1:14" x14ac:dyDescent="0.3">
      <c r="A35" t="s">
        <v>44</v>
      </c>
      <c r="B35" t="str" cm="1">
        <f t="array" ref="B35">INDEX([1]Sheet1!$A$2:$A$26, INT((ROW()-5)/10)+1)</f>
        <v>TCS</v>
      </c>
      <c r="C35" t="str">
        <f>VLOOKUP(B35, [1]Sheet1!$A:$B, 2, FALSE)</f>
        <v>tech</v>
      </c>
      <c r="D35">
        <f ca="1">VLOOKUP($B35, [1]Sheet1!$A:$F, 3, FALSE) * (RANDBETWEEN(10,25)/100)</f>
        <v>35373600000</v>
      </c>
      <c r="E35">
        <f t="shared" ca="1" si="0"/>
        <v>-35373600000</v>
      </c>
      <c r="F35">
        <f ca="1">VLOOKUP($B35, [1]Sheet1!$A:$F, 4, FALSE) * (RANDBETWEEN(40,70)/100)</f>
        <v>78661260000.000015</v>
      </c>
      <c r="G35">
        <f ca="1">VLOOKUP($B35, [1]Sheet1!$A:$F, 5, FALSE) * (RANDBETWEEN(60,100)/100)</f>
        <v>70324800000</v>
      </c>
      <c r="H35">
        <f t="shared" ca="1" si="1"/>
        <v>80873520000</v>
      </c>
      <c r="I35">
        <f t="shared" ca="1" si="2"/>
        <v>4</v>
      </c>
      <c r="J35">
        <f t="shared" ca="1" si="3"/>
        <v>0.1</v>
      </c>
      <c r="K35">
        <f t="shared" ca="1" si="4"/>
        <v>155017778362.13373</v>
      </c>
      <c r="L35" s="4">
        <f t="shared" ca="1" si="5"/>
        <v>2.1021633331089382</v>
      </c>
      <c r="M35">
        <f t="shared" ca="1" si="6"/>
        <v>1</v>
      </c>
      <c r="N35" t="str">
        <f t="shared" ca="1" si="7"/>
        <v>Accept</v>
      </c>
    </row>
    <row r="36" spans="1:14" x14ac:dyDescent="0.3">
      <c r="A36" t="s">
        <v>45</v>
      </c>
      <c r="B36" t="str" cm="1">
        <f t="array" ref="B36">INDEX([1]Sheet1!$A$2:$A$26, INT((ROW()-5)/10)+1)</f>
        <v>TCS</v>
      </c>
      <c r="C36" t="str">
        <f>VLOOKUP(B36, [1]Sheet1!$A:$B, 2, FALSE)</f>
        <v>tech</v>
      </c>
      <c r="D36">
        <f ca="1">VLOOKUP($B36, [1]Sheet1!$A:$F, 3, FALSE) * (RANDBETWEEN(10,25)/100)</f>
        <v>45985680000</v>
      </c>
      <c r="E36">
        <f t="shared" ca="1" si="0"/>
        <v>-45985680000</v>
      </c>
      <c r="F36">
        <f ca="1">VLOOKUP($B36, [1]Sheet1!$A:$F, 4, FALSE) * (RANDBETWEEN(40,70)/100)</f>
        <v>87542370000</v>
      </c>
      <c r="G36">
        <f ca="1">VLOOKUP($B36, [1]Sheet1!$A:$F, 5, FALSE) * (RANDBETWEEN(60,100)/100)</f>
        <v>101920000000</v>
      </c>
      <c r="H36">
        <f t="shared" ca="1" si="1"/>
        <v>113131200000.00002</v>
      </c>
      <c r="I36">
        <f t="shared" ca="1" si="2"/>
        <v>4</v>
      </c>
      <c r="J36">
        <f t="shared" ca="1" si="3"/>
        <v>0.1</v>
      </c>
      <c r="K36">
        <f t="shared" ca="1" si="4"/>
        <v>202826842689.70694</v>
      </c>
      <c r="L36" s="4">
        <f t="shared" ca="1" si="5"/>
        <v>1.9414935628892822</v>
      </c>
      <c r="M36">
        <f t="shared" ca="1" si="6"/>
        <v>1</v>
      </c>
      <c r="N36" t="str">
        <f t="shared" ca="1" si="7"/>
        <v>Accept</v>
      </c>
    </row>
    <row r="37" spans="1:14" x14ac:dyDescent="0.3">
      <c r="A37" t="s">
        <v>46</v>
      </c>
      <c r="B37" t="str" cm="1">
        <f t="array" ref="B37">INDEX([1]Sheet1!$A$2:$A$26, INT((ROW()-5)/10)+1)</f>
        <v>TCS</v>
      </c>
      <c r="C37" t="str">
        <f>VLOOKUP(B37, [1]Sheet1!$A:$B, 2, FALSE)</f>
        <v>tech</v>
      </c>
      <c r="D37">
        <f ca="1">VLOOKUP($B37, [1]Sheet1!$A:$F, 3, FALSE) * (RANDBETWEEN(10,25)/100)</f>
        <v>77821920000</v>
      </c>
      <c r="E37">
        <f t="shared" ca="1" si="0"/>
        <v>-77821920000</v>
      </c>
      <c r="F37">
        <f ca="1">VLOOKUP($B37, [1]Sheet1!$A:$F, 4, FALSE) * (RANDBETWEEN(40,70)/100)</f>
        <v>73586340000</v>
      </c>
      <c r="G37">
        <f ca="1">VLOOKUP($B37, [1]Sheet1!$A:$F, 5, FALSE) * (RANDBETWEEN(60,100)/100)</f>
        <v>66248000000</v>
      </c>
      <c r="H37">
        <f t="shared" ca="1" si="1"/>
        <v>75522720000.000015</v>
      </c>
      <c r="I37">
        <f t="shared" ca="1" si="2"/>
        <v>4</v>
      </c>
      <c r="J37">
        <f t="shared" ca="1" si="3"/>
        <v>0.1</v>
      </c>
      <c r="K37">
        <f t="shared" ca="1" si="4"/>
        <v>100566503290.75879</v>
      </c>
      <c r="L37" s="4">
        <f t="shared" ca="1" si="5"/>
        <v>0.74932994838113642</v>
      </c>
      <c r="M37">
        <f t="shared" ca="1" si="6"/>
        <v>1.0639352131385098</v>
      </c>
      <c r="N37" t="str">
        <f t="shared" ca="1" si="7"/>
        <v>Accept</v>
      </c>
    </row>
    <row r="38" spans="1:14" x14ac:dyDescent="0.3">
      <c r="A38" t="s">
        <v>47</v>
      </c>
      <c r="B38" t="str" cm="1">
        <f t="array" ref="B38">INDEX([1]Sheet1!$A$2:$A$26, INT((ROW()-5)/10)+1)</f>
        <v>TCS</v>
      </c>
      <c r="C38" t="str">
        <f>VLOOKUP(B38, [1]Sheet1!$A:$B, 2, FALSE)</f>
        <v>tech</v>
      </c>
      <c r="D38">
        <f ca="1">VLOOKUP($B38, [1]Sheet1!$A:$F, 3, FALSE) * (RANDBETWEEN(10,25)/100)</f>
        <v>49523040000.000008</v>
      </c>
      <c r="E38">
        <f t="shared" ca="1" si="0"/>
        <v>-49523040000.000008</v>
      </c>
      <c r="F38">
        <f ca="1">VLOOKUP($B38, [1]Sheet1!$A:$F, 4, FALSE) * (RANDBETWEEN(40,70)/100)</f>
        <v>85004910000.000015</v>
      </c>
      <c r="G38">
        <f ca="1">VLOOKUP($B38, [1]Sheet1!$A:$F, 5, FALSE) * (RANDBETWEEN(60,100)/100)</f>
        <v>100900800000</v>
      </c>
      <c r="H38">
        <f t="shared" ca="1" si="1"/>
        <v>119062944000</v>
      </c>
      <c r="I38">
        <f t="shared" ca="1" si="2"/>
        <v>2</v>
      </c>
      <c r="J38">
        <f t="shared" ca="1" si="3"/>
        <v>0.08</v>
      </c>
      <c r="K38">
        <f t="shared" ca="1" si="4"/>
        <v>210207386497.48511</v>
      </c>
      <c r="L38" s="4">
        <f t="shared" ca="1" si="5"/>
        <v>1.7668841372977768</v>
      </c>
      <c r="M38">
        <f t="shared" ca="1" si="6"/>
        <v>1</v>
      </c>
      <c r="N38" t="str">
        <f t="shared" ca="1" si="7"/>
        <v>Accept</v>
      </c>
    </row>
    <row r="39" spans="1:14" x14ac:dyDescent="0.3">
      <c r="A39" t="s">
        <v>48</v>
      </c>
      <c r="B39" t="str" cm="1">
        <f t="array" ref="B39">INDEX([1]Sheet1!$A$2:$A$26, INT((ROW()-5)/10)+1)</f>
        <v>TCS</v>
      </c>
      <c r="C39" t="str">
        <f>VLOOKUP(B39, [1]Sheet1!$A:$B, 2, FALSE)</f>
        <v>tech</v>
      </c>
      <c r="D39">
        <f ca="1">VLOOKUP($B39, [1]Sheet1!$A:$F, 3, FALSE) * (RANDBETWEEN(10,25)/100)</f>
        <v>45985680000</v>
      </c>
      <c r="E39">
        <f t="shared" ca="1" si="0"/>
        <v>-45985680000</v>
      </c>
      <c r="F39">
        <f ca="1">VLOOKUP($B39, [1]Sheet1!$A:$F, 4, FALSE) * (RANDBETWEEN(40,70)/100)</f>
        <v>65973960000.000008</v>
      </c>
      <c r="G39">
        <f ca="1">VLOOKUP($B39, [1]Sheet1!$A:$F, 5, FALSE) * (RANDBETWEEN(60,100)/100)</f>
        <v>69305600000</v>
      </c>
      <c r="H39">
        <f t="shared" ca="1" si="1"/>
        <v>83166720000</v>
      </c>
      <c r="I39">
        <f t="shared" ca="1" si="2"/>
        <v>2</v>
      </c>
      <c r="J39">
        <f t="shared" ca="1" si="3"/>
        <v>0.08</v>
      </c>
      <c r="K39">
        <f t="shared" ca="1" si="4"/>
        <v>140540125060.20422</v>
      </c>
      <c r="L39" s="4">
        <f t="shared" ca="1" si="5"/>
        <v>1.3846865342987638</v>
      </c>
      <c r="M39">
        <f t="shared" ca="1" si="6"/>
        <v>1</v>
      </c>
      <c r="N39" t="str">
        <f t="shared" ca="1" si="7"/>
        <v>Accept</v>
      </c>
    </row>
    <row r="40" spans="1:14" x14ac:dyDescent="0.3">
      <c r="A40" t="s">
        <v>49</v>
      </c>
      <c r="B40" t="str" cm="1">
        <f t="array" ref="B40">INDEX([1]Sheet1!$A$2:$A$26, INT((ROW()-5)/10)+1)</f>
        <v>TCS</v>
      </c>
      <c r="C40" t="str">
        <f>VLOOKUP(B40, [1]Sheet1!$A:$B, 2, FALSE)</f>
        <v>tech</v>
      </c>
      <c r="D40">
        <f ca="1">VLOOKUP($B40, [1]Sheet1!$A:$F, 3, FALSE) * (RANDBETWEEN(10,25)/100)</f>
        <v>49523040000.000008</v>
      </c>
      <c r="E40">
        <f t="shared" ca="1" si="0"/>
        <v>-49523040000.000008</v>
      </c>
      <c r="F40">
        <f ca="1">VLOOKUP($B40, [1]Sheet1!$A:$F, 4, FALSE) * (RANDBETWEEN(40,70)/100)</f>
        <v>72317610000</v>
      </c>
      <c r="G40">
        <f ca="1">VLOOKUP($B40, [1]Sheet1!$A:$F, 5, FALSE) * (RANDBETWEEN(60,100)/100)</f>
        <v>71344000000</v>
      </c>
      <c r="H40">
        <f t="shared" ca="1" si="1"/>
        <v>84185920000</v>
      </c>
      <c r="I40">
        <f ca="1">IF(C40="tech", RANDBETWEEN(2,4),
 IF(C40="energy", RANDBETWEEN(5,8),
 IF(C40="finance", RANDBETWEEN(3,6),
 IF(C40="FMCG", RANDBETWEEN(2,5),
 RANDBETWEEN(4,7)))))</f>
        <v>2</v>
      </c>
      <c r="J40">
        <f t="shared" ca="1" si="3"/>
        <v>0.08</v>
      </c>
      <c r="K40">
        <f t="shared" ca="1" si="4"/>
        <v>145433188331.55511</v>
      </c>
      <c r="L40" s="4">
        <f t="shared" ca="1" si="5"/>
        <v>1.3705199599857689</v>
      </c>
      <c r="M40">
        <f t="shared" ca="1" si="6"/>
        <v>1</v>
      </c>
      <c r="N40" t="str">
        <f t="shared" ca="1" si="7"/>
        <v>Accept</v>
      </c>
    </row>
    <row r="41" spans="1:14" x14ac:dyDescent="0.3">
      <c r="A41" t="s">
        <v>50</v>
      </c>
      <c r="B41" t="str" cm="1">
        <f t="array" ref="B41">INDEX([1]Sheet1!$A$2:$A$26, INT((ROW()-5)/10)+1)</f>
        <v>TCS</v>
      </c>
      <c r="C41" t="str">
        <f>VLOOKUP(B41, [1]Sheet1!$A:$B, 2, FALSE)</f>
        <v>tech</v>
      </c>
      <c r="D41">
        <f ca="1">VLOOKUP($B41, [1]Sheet1!$A:$F, 3, FALSE) * (RANDBETWEEN(10,25)/100)</f>
        <v>74284560000</v>
      </c>
      <c r="E41">
        <f t="shared" ca="1" si="0"/>
        <v>-74284560000</v>
      </c>
      <c r="F41">
        <f ca="1">VLOOKUP($B41, [1]Sheet1!$A:$F, 4, FALSE) * (RANDBETWEEN(40,70)/100)</f>
        <v>64705230000.000008</v>
      </c>
      <c r="G41">
        <f ca="1">VLOOKUP($B41, [1]Sheet1!$A:$F, 5, FALSE) * (RANDBETWEEN(60,100)/100)</f>
        <v>74401600000</v>
      </c>
      <c r="H41">
        <f t="shared" ca="1" si="1"/>
        <v>87049872000</v>
      </c>
      <c r="I41">
        <f t="shared" ca="1" si="2"/>
        <v>2</v>
      </c>
      <c r="J41">
        <f t="shared" ca="1" si="3"/>
        <v>0.08</v>
      </c>
      <c r="K41">
        <f t="shared" ca="1" si="4"/>
        <v>118518064942.84406</v>
      </c>
      <c r="L41" s="4">
        <f t="shared" ca="1" si="5"/>
        <v>0.79367430610638068</v>
      </c>
      <c r="M41">
        <f t="shared" ca="1" si="6"/>
        <v>1.128751666630825</v>
      </c>
      <c r="N41" t="str">
        <f t="shared" ca="1" si="7"/>
        <v>Accept</v>
      </c>
    </row>
    <row r="42" spans="1:14" x14ac:dyDescent="0.3">
      <c r="A42" t="s">
        <v>51</v>
      </c>
      <c r="B42" t="str" cm="1">
        <f t="array" ref="B42">INDEX([1]Sheet1!$A$2:$A$26, INT((ROW()-5)/10)+1)</f>
        <v>TCS</v>
      </c>
      <c r="C42" t="str">
        <f>VLOOKUP(B42, [1]Sheet1!$A:$B, 2, FALSE)</f>
        <v>tech</v>
      </c>
      <c r="D42">
        <f ca="1">VLOOKUP($B42, [1]Sheet1!$A:$F, 3, FALSE) * (RANDBETWEEN(10,25)/100)</f>
        <v>74284560000</v>
      </c>
      <c r="E42">
        <f ca="1">-D42</f>
        <v>-74284560000</v>
      </c>
      <c r="F42">
        <f ca="1">VLOOKUP($B42, [1]Sheet1!$A:$F, 4, FALSE) * (RANDBETWEEN(40,70)/100)</f>
        <v>50749200000.000008</v>
      </c>
      <c r="G42">
        <f ca="1">VLOOKUP($B42, [1]Sheet1!$A:$F, 5, FALSE) * (RANDBETWEEN(60,100)/100)</f>
        <v>69305600000</v>
      </c>
      <c r="H42">
        <f ca="1">G42 * (1 + RANDBETWEEN(5,20)/100)</f>
        <v>74850048000</v>
      </c>
      <c r="I42">
        <f t="shared" ca="1" si="2"/>
        <v>4</v>
      </c>
      <c r="J42">
        <f t="shared" ca="1" si="3"/>
        <v>0.1</v>
      </c>
      <c r="K42">
        <f t="shared" ca="1" si="4"/>
        <v>85364380646.130707</v>
      </c>
      <c r="L42" s="4">
        <f t="shared" ca="1" si="5"/>
        <v>0.63264139714842949</v>
      </c>
      <c r="M42">
        <f t="shared" ca="1" si="6"/>
        <v>1.3395881429494874</v>
      </c>
      <c r="N42" t="str">
        <f t="shared" ca="1" si="7"/>
        <v>Accept</v>
      </c>
    </row>
    <row r="43" spans="1:14" x14ac:dyDescent="0.3">
      <c r="A43" t="s">
        <v>52</v>
      </c>
      <c r="B43" t="str" cm="1">
        <f t="array" ref="B43">INDEX([1]Sheet1!$A$2:$A$26, INT((ROW()-5)/10)+1)</f>
        <v>TCS</v>
      </c>
      <c r="C43" t="str">
        <f>VLOOKUP(B43, [1]Sheet1!$A:$B, 2, FALSE)</f>
        <v>tech</v>
      </c>
      <c r="D43">
        <f ca="1">VLOOKUP($B43, [1]Sheet1!$A:$F, 3, FALSE) * (RANDBETWEEN(10,25)/100)</f>
        <v>49523040000.000008</v>
      </c>
      <c r="E43">
        <f t="shared" ca="1" si="0"/>
        <v>-49523040000.000008</v>
      </c>
      <c r="F43">
        <f ca="1">VLOOKUP($B43, [1]Sheet1!$A:$F, 4, FALSE) * (RANDBETWEEN(40,70)/100)</f>
        <v>52017930000</v>
      </c>
      <c r="G43">
        <f ca="1">VLOOKUP($B43, [1]Sheet1!$A:$F, 5, FALSE) * (RANDBETWEEN(60,100)/100)</f>
        <v>81536000000</v>
      </c>
      <c r="H43">
        <f t="shared" ca="1" si="1"/>
        <v>97843200000</v>
      </c>
      <c r="I43">
        <f t="shared" ca="1" si="2"/>
        <v>2</v>
      </c>
      <c r="J43">
        <f t="shared" ca="1" si="3"/>
        <v>0.08</v>
      </c>
      <c r="K43">
        <f t="shared" ca="1" si="4"/>
        <v>146216774776.71085</v>
      </c>
      <c r="L43" s="4">
        <f t="shared" ca="1" si="5"/>
        <v>1.2040701230730684</v>
      </c>
      <c r="M43">
        <f t="shared" ca="1" si="6"/>
        <v>1</v>
      </c>
      <c r="N43" t="str">
        <f t="shared" ca="1" si="7"/>
        <v>Accept</v>
      </c>
    </row>
    <row r="44" spans="1:14" x14ac:dyDescent="0.3">
      <c r="A44" t="s">
        <v>53</v>
      </c>
      <c r="B44" t="str" cm="1">
        <f t="array" ref="B44">INDEX([1]Sheet1!$A$2:$A$26, INT((ROW()-5)/10)+1)</f>
        <v>TCS</v>
      </c>
      <c r="C44" t="str">
        <f>VLOOKUP(B44, [1]Sheet1!$A:$B, 2, FALSE)</f>
        <v>tech</v>
      </c>
      <c r="D44">
        <f ca="1">VLOOKUP($B44, [1]Sheet1!$A:$F, 3, FALSE) * (RANDBETWEEN(10,25)/100)</f>
        <v>88434000000</v>
      </c>
      <c r="E44">
        <f t="shared" ca="1" si="0"/>
        <v>-88434000000</v>
      </c>
      <c r="F44">
        <f ca="1">VLOOKUP($B44, [1]Sheet1!$A:$F, 4, FALSE) * (RANDBETWEEN(40,70)/100)</f>
        <v>76123800000</v>
      </c>
      <c r="G44">
        <f ca="1">VLOOKUP($B44, [1]Sheet1!$A:$F, 5, FALSE) * (RANDBETWEEN(60,100)/100)</f>
        <v>95804800000</v>
      </c>
      <c r="H44">
        <f t="shared" ca="1" si="1"/>
        <v>101553088000</v>
      </c>
      <c r="I44">
        <f t="shared" ca="1" si="2"/>
        <v>4</v>
      </c>
      <c r="J44">
        <f t="shared" ca="1" si="3"/>
        <v>0.1</v>
      </c>
      <c r="K44">
        <f t="shared" ca="1" si="4"/>
        <v>136245313298.27197</v>
      </c>
      <c r="L44" s="4">
        <f t="shared" ca="1" si="5"/>
        <v>0.80991610548347226</v>
      </c>
      <c r="M44">
        <f t="shared" ca="1" si="6"/>
        <v>1.1284925181201777</v>
      </c>
      <c r="N44" t="str">
        <f t="shared" ca="1" si="7"/>
        <v>Accept</v>
      </c>
    </row>
    <row r="45" spans="1:14" x14ac:dyDescent="0.3">
      <c r="A45" t="s">
        <v>54</v>
      </c>
      <c r="B45" t="str" cm="1">
        <f t="array" ref="B45">INDEX([1]Sheet1!$A$2:$A$26, INT((ROW()-5)/10)+1)</f>
        <v>Wipro</v>
      </c>
      <c r="C45" t="str">
        <f>VLOOKUP(B45, [1]Sheet1!$A:$B, 2, FALSE)</f>
        <v>tech</v>
      </c>
      <c r="D45">
        <f ca="1">VLOOKUP($B45, [1]Sheet1!$A:$F, 3, FALSE) * (RANDBETWEEN(10,25)/100)</f>
        <v>89141472000</v>
      </c>
      <c r="E45">
        <f t="shared" ca="1" si="0"/>
        <v>-89141472000</v>
      </c>
      <c r="F45">
        <f ca="1">VLOOKUP($B45, [1]Sheet1!$A:$F, 4, FALSE) * (RANDBETWEEN(40,70)/100)</f>
        <v>47320200000</v>
      </c>
      <c r="G45">
        <f ca="1">VLOOKUP($B45, [1]Sheet1!$A:$F, 5, FALSE) * (RANDBETWEEN(60,100)/100)</f>
        <v>74480000000</v>
      </c>
      <c r="H45">
        <f t="shared" ca="1" si="1"/>
        <v>87141600000</v>
      </c>
      <c r="I45">
        <f t="shared" ca="1" si="2"/>
        <v>2</v>
      </c>
      <c r="J45">
        <f t="shared" ca="1" si="3"/>
        <v>0.08</v>
      </c>
      <c r="K45">
        <f t="shared" ca="1" si="4"/>
        <v>87703934950.160034</v>
      </c>
      <c r="L45" s="4">
        <f t="shared" ca="1" si="5"/>
        <v>0.51150537399380291</v>
      </c>
      <c r="M45">
        <f t="shared" ca="1" si="6"/>
        <v>1.5615100966702471</v>
      </c>
      <c r="N45" t="str">
        <f t="shared" ca="1" si="7"/>
        <v>Accept</v>
      </c>
    </row>
    <row r="46" spans="1:14" x14ac:dyDescent="0.3">
      <c r="A46" t="s">
        <v>55</v>
      </c>
      <c r="B46" t="str" cm="1">
        <f t="array" ref="B46">INDEX([1]Sheet1!$A$2:$A$26, INT((ROW()-5)/10)+1)</f>
        <v>Wipro</v>
      </c>
      <c r="C46" t="str">
        <f>VLOOKUP(B46, [1]Sheet1!$A:$B, 2, FALSE)</f>
        <v>tech</v>
      </c>
      <c r="D46">
        <f ca="1">VLOOKUP($B46, [1]Sheet1!$A:$F, 3, FALSE) * (RANDBETWEEN(10,25)/100)</f>
        <v>93386304000</v>
      </c>
      <c r="E46">
        <f t="shared" ca="1" si="0"/>
        <v>-93386304000</v>
      </c>
      <c r="F46">
        <f ca="1">VLOOKUP($B46, [1]Sheet1!$A:$F, 4, FALSE) * (RANDBETWEEN(40,70)/100)</f>
        <v>53629560000</v>
      </c>
      <c r="G46">
        <f ca="1">VLOOKUP($B46, [1]Sheet1!$A:$F, 5, FALSE) * (RANDBETWEEN(60,100)/100)</f>
        <v>72352000000</v>
      </c>
      <c r="H46">
        <f t="shared" ca="1" si="1"/>
        <v>81757759999.999985</v>
      </c>
      <c r="I46">
        <f t="shared" ca="1" si="2"/>
        <v>4</v>
      </c>
      <c r="J46">
        <f t="shared" ca="1" si="3"/>
        <v>0.1</v>
      </c>
      <c r="K46">
        <f t="shared" ca="1" si="4"/>
        <v>76588697953.418457</v>
      </c>
      <c r="L46" s="4">
        <f t="shared" ca="1" si="5"/>
        <v>0.48925064263574125</v>
      </c>
      <c r="M46">
        <f t="shared" ca="1" si="6"/>
        <v>1.5494906015037593</v>
      </c>
      <c r="N46" t="str">
        <f t="shared" ca="1" si="7"/>
        <v>Accept</v>
      </c>
    </row>
    <row r="47" spans="1:14" x14ac:dyDescent="0.3">
      <c r="A47" t="s">
        <v>56</v>
      </c>
      <c r="B47" t="str" cm="1">
        <f t="array" ref="B47">INDEX([1]Sheet1!$A$2:$A$26, INT((ROW()-5)/10)+1)</f>
        <v>Wipro</v>
      </c>
      <c r="C47" t="str">
        <f>VLOOKUP(B47, [1]Sheet1!$A:$B, 2, FALSE)</f>
        <v>tech</v>
      </c>
      <c r="D47">
        <f ca="1">VLOOKUP($B47, [1]Sheet1!$A:$F, 3, FALSE) * (RANDBETWEEN(10,25)/100)</f>
        <v>106120800000</v>
      </c>
      <c r="E47">
        <f t="shared" ca="1" si="0"/>
        <v>-106120800000</v>
      </c>
      <c r="F47">
        <f ca="1">VLOOKUP($B47, [1]Sheet1!$A:$F, 4, FALSE) * (RANDBETWEEN(40,70)/100)</f>
        <v>58887360000.000008</v>
      </c>
      <c r="G47">
        <f ca="1">VLOOKUP($B47, [1]Sheet1!$A:$F, 5, FALSE) * (RANDBETWEEN(60,100)/100)</f>
        <v>67032000000</v>
      </c>
      <c r="H47">
        <f t="shared" ca="1" si="1"/>
        <v>78427440000</v>
      </c>
      <c r="I47">
        <f t="shared" ca="1" si="2"/>
        <v>2</v>
      </c>
      <c r="J47">
        <f t="shared" ca="1" si="3"/>
        <v>0.08</v>
      </c>
      <c r="K47">
        <f t="shared" ca="1" si="4"/>
        <v>68131899588.477356</v>
      </c>
      <c r="L47" s="4">
        <f t="shared" ca="1" si="5"/>
        <v>0.39098285931633359</v>
      </c>
      <c r="M47">
        <f t="shared" ca="1" si="6"/>
        <v>1.7046401718582169</v>
      </c>
      <c r="N47" t="str">
        <f t="shared" ca="1" si="7"/>
        <v>Accept</v>
      </c>
    </row>
    <row r="48" spans="1:14" x14ac:dyDescent="0.3">
      <c r="A48" t="s">
        <v>57</v>
      </c>
      <c r="B48" t="str" cm="1">
        <f t="array" ref="B48">INDEX([1]Sheet1!$A$2:$A$26, INT((ROW()-5)/10)+1)</f>
        <v>Wipro</v>
      </c>
      <c r="C48" t="str">
        <f>VLOOKUP(B48, [1]Sheet1!$A:$B, 2, FALSE)</f>
        <v>tech</v>
      </c>
      <c r="D48">
        <f ca="1">VLOOKUP($B48, [1]Sheet1!$A:$F, 3, FALSE) * (RANDBETWEEN(10,25)/100)</f>
        <v>97631136000</v>
      </c>
      <c r="E48">
        <f t="shared" ca="1" si="0"/>
        <v>-97631136000</v>
      </c>
      <c r="F48">
        <f ca="1">VLOOKUP($B48, [1]Sheet1!$A:$F, 4, FALSE) * (RANDBETWEEN(40,70)/100)</f>
        <v>46268640000</v>
      </c>
      <c r="G48">
        <f ca="1">VLOOKUP($B48, [1]Sheet1!$A:$F, 5, FALSE) * (RANDBETWEEN(60,100)/100)</f>
        <v>82992000000</v>
      </c>
      <c r="H48">
        <f t="shared" ca="1" si="1"/>
        <v>98760480000</v>
      </c>
      <c r="I48">
        <f t="shared" ca="1" si="2"/>
        <v>3</v>
      </c>
      <c r="J48">
        <f t="shared" ca="1" si="3"/>
        <v>0.08</v>
      </c>
      <c r="K48">
        <f t="shared" ca="1" si="4"/>
        <v>94761713870.446564</v>
      </c>
      <c r="L48" s="4">
        <f t="shared" ca="1" si="5"/>
        <v>0.49505557827557922</v>
      </c>
      <c r="M48">
        <f t="shared" ca="1" si="6"/>
        <v>1.6188849045691152</v>
      </c>
      <c r="N48" t="str">
        <f t="shared" ca="1" si="7"/>
        <v>Accept</v>
      </c>
    </row>
    <row r="49" spans="1:14" x14ac:dyDescent="0.3">
      <c r="A49" t="s">
        <v>58</v>
      </c>
      <c r="B49" t="str" cm="1">
        <f t="array" ref="B49">INDEX([1]Sheet1!$A$2:$A$26, INT((ROW()-5)/10)+1)</f>
        <v>Wipro</v>
      </c>
      <c r="C49" t="str">
        <f>VLOOKUP(B49, [1]Sheet1!$A:$B, 2, FALSE)</f>
        <v>tech</v>
      </c>
      <c r="D49">
        <f ca="1">VLOOKUP($B49, [1]Sheet1!$A:$F, 3, FALSE) * (RANDBETWEEN(10,25)/100)</f>
        <v>46693152000</v>
      </c>
      <c r="E49">
        <f t="shared" ca="1" si="0"/>
        <v>-46693152000</v>
      </c>
      <c r="F49">
        <f ca="1">VLOOKUP($B49, [1]Sheet1!$A:$F, 4, FALSE) * (RANDBETWEEN(40,70)/100)</f>
        <v>50474880000</v>
      </c>
      <c r="G49">
        <f ca="1">VLOOKUP($B49, [1]Sheet1!$A:$F, 5, FALSE) * (RANDBETWEEN(60,100)/100)</f>
        <v>92568000000</v>
      </c>
      <c r="H49">
        <f t="shared" ca="1" si="1"/>
        <v>99973440000</v>
      </c>
      <c r="I49">
        <f t="shared" ca="1" si="2"/>
        <v>4</v>
      </c>
      <c r="J49">
        <f t="shared" ca="1" si="3"/>
        <v>0.1</v>
      </c>
      <c r="K49">
        <f t="shared" ca="1" si="4"/>
        <v>150807107053.34332</v>
      </c>
      <c r="L49" s="4">
        <f t="shared" ca="1" si="5"/>
        <v>1.3277840965563263</v>
      </c>
      <c r="M49">
        <f t="shared" ca="1" si="6"/>
        <v>1</v>
      </c>
      <c r="N49" t="str">
        <f t="shared" ca="1" si="7"/>
        <v>Accept</v>
      </c>
    </row>
    <row r="50" spans="1:14" x14ac:dyDescent="0.3">
      <c r="A50" t="s">
        <v>59</v>
      </c>
      <c r="B50" t="str" cm="1">
        <f t="array" ref="B50">INDEX([1]Sheet1!$A$2:$A$26, INT((ROW()-5)/10)+1)</f>
        <v>Wipro</v>
      </c>
      <c r="C50" t="str">
        <f>VLOOKUP(B50, [1]Sheet1!$A:$B, 2, FALSE)</f>
        <v>tech</v>
      </c>
      <c r="D50">
        <f ca="1">VLOOKUP($B50, [1]Sheet1!$A:$F, 3, FALSE) * (RANDBETWEEN(10,25)/100)</f>
        <v>67917312000</v>
      </c>
      <c r="E50">
        <f t="shared" ca="1" si="0"/>
        <v>-67917312000</v>
      </c>
      <c r="F50">
        <f ca="1">VLOOKUP($B50, [1]Sheet1!$A:$F, 4, FALSE) * (RANDBETWEEN(40,70)/100)</f>
        <v>45217080000</v>
      </c>
      <c r="G50">
        <f ca="1">VLOOKUP($B50, [1]Sheet1!$A:$F, 5, FALSE) * (RANDBETWEEN(60,100)/100)</f>
        <v>68096000000</v>
      </c>
      <c r="H50">
        <f t="shared" ca="1" si="1"/>
        <v>72181760000</v>
      </c>
      <c r="I50">
        <f t="shared" ca="1" si="2"/>
        <v>4</v>
      </c>
      <c r="J50">
        <f t="shared" ca="1" si="3"/>
        <v>0.1</v>
      </c>
      <c r="K50">
        <f t="shared" ca="1" si="4"/>
        <v>83698034957.175018</v>
      </c>
      <c r="L50" s="4">
        <f t="shared" ca="1" si="5"/>
        <v>0.65751080251652216</v>
      </c>
      <c r="M50">
        <f t="shared" ca="1" si="6"/>
        <v>1.3333563204887218</v>
      </c>
      <c r="N50" t="str">
        <f t="shared" ca="1" si="7"/>
        <v>Accept</v>
      </c>
    </row>
    <row r="51" spans="1:14" x14ac:dyDescent="0.3">
      <c r="A51" t="s">
        <v>60</v>
      </c>
      <c r="B51" t="str" cm="1">
        <f t="array" ref="B51">INDEX([1]Sheet1!$A$2:$A$26, INT((ROW()-5)/10)+1)</f>
        <v>Wipro</v>
      </c>
      <c r="C51" t="str">
        <f>VLOOKUP(B51, [1]Sheet1!$A:$B, 2, FALSE)</f>
        <v>tech</v>
      </c>
      <c r="D51">
        <f ca="1">VLOOKUP($B51, [1]Sheet1!$A:$F, 3, FALSE) * (RANDBETWEEN(10,25)/100)</f>
        <v>46693152000</v>
      </c>
      <c r="E51">
        <f t="shared" ca="1" si="0"/>
        <v>-46693152000</v>
      </c>
      <c r="F51">
        <f ca="1">VLOOKUP($B51, [1]Sheet1!$A:$F, 4, FALSE) * (RANDBETWEEN(40,70)/100)</f>
        <v>73609200000</v>
      </c>
      <c r="G51">
        <f ca="1">VLOOKUP($B51, [1]Sheet1!$A:$F, 5, FALSE) * (RANDBETWEEN(60,100)/100)</f>
        <v>90440000000</v>
      </c>
      <c r="H51">
        <f t="shared" ca="1" si="1"/>
        <v>106719200000</v>
      </c>
      <c r="I51">
        <f t="shared" ca="1" si="2"/>
        <v>3</v>
      </c>
      <c r="J51">
        <f t="shared" ca="1" si="3"/>
        <v>0.08</v>
      </c>
      <c r="K51">
        <f t="shared" ca="1" si="4"/>
        <v>183718379270.63965</v>
      </c>
      <c r="L51" s="4">
        <f t="shared" ca="1" si="5"/>
        <v>1.6387227582297164</v>
      </c>
      <c r="M51">
        <f t="shared" ca="1" si="6"/>
        <v>1</v>
      </c>
      <c r="N51" t="str">
        <f t="shared" ca="1" si="7"/>
        <v>Accept</v>
      </c>
    </row>
    <row r="52" spans="1:14" x14ac:dyDescent="0.3">
      <c r="A52" t="s">
        <v>61</v>
      </c>
      <c r="B52" t="str" cm="1">
        <f t="array" ref="B52">INDEX([1]Sheet1!$A$2:$A$26, INT((ROW()-5)/10)+1)</f>
        <v>Wipro</v>
      </c>
      <c r="C52" t="str">
        <f>VLOOKUP(B52, [1]Sheet1!$A:$B, 2, FALSE)</f>
        <v>tech</v>
      </c>
      <c r="D52">
        <f ca="1">VLOOKUP($B52, [1]Sheet1!$A:$F, 3, FALSE) * (RANDBETWEEN(10,25)/100)</f>
        <v>89141472000</v>
      </c>
      <c r="E52">
        <f t="shared" ca="1" si="0"/>
        <v>-89141472000</v>
      </c>
      <c r="F52">
        <f ca="1">VLOOKUP($B52, [1]Sheet1!$A:$F, 4, FALSE) * (RANDBETWEEN(40,70)/100)</f>
        <v>48371760000</v>
      </c>
      <c r="G52">
        <f ca="1">VLOOKUP($B52, [1]Sheet1!$A:$F, 5, FALSE) * (RANDBETWEEN(60,100)/100)</f>
        <v>98952000000</v>
      </c>
      <c r="H52">
        <f t="shared" ca="1" si="1"/>
        <v>118742400000</v>
      </c>
      <c r="I52">
        <f t="shared" ca="1" si="2"/>
        <v>4</v>
      </c>
      <c r="J52">
        <f t="shared" ca="1" si="3"/>
        <v>0.1</v>
      </c>
      <c r="K52">
        <f t="shared" ca="1" si="4"/>
        <v>125824290283.99695</v>
      </c>
      <c r="L52" s="4">
        <f t="shared" ca="1" si="5"/>
        <v>0.67762394346111132</v>
      </c>
      <c r="M52">
        <f t="shared" ca="1" si="6"/>
        <v>1.4120150375939851</v>
      </c>
      <c r="N52" t="str">
        <f t="shared" ca="1" si="7"/>
        <v>Accept</v>
      </c>
    </row>
    <row r="53" spans="1:14" x14ac:dyDescent="0.3">
      <c r="A53" t="s">
        <v>62</v>
      </c>
      <c r="B53" t="str" cm="1">
        <f t="array" ref="B53">INDEX([1]Sheet1!$A$2:$A$26, INT((ROW()-5)/10)+1)</f>
        <v>Wipro</v>
      </c>
      <c r="C53" t="str">
        <f>VLOOKUP(B53, [1]Sheet1!$A:$B, 2, FALSE)</f>
        <v>tech</v>
      </c>
      <c r="D53">
        <f ca="1">VLOOKUP($B53, [1]Sheet1!$A:$F, 3, FALSE) * (RANDBETWEEN(10,25)/100)</f>
        <v>93386304000</v>
      </c>
      <c r="E53">
        <f t="shared" ca="1" si="0"/>
        <v>-93386304000</v>
      </c>
      <c r="F53">
        <f ca="1">VLOOKUP($B53, [1]Sheet1!$A:$F, 4, FALSE) * (RANDBETWEEN(40,70)/100)</f>
        <v>68351400000</v>
      </c>
      <c r="G53">
        <f ca="1">VLOOKUP($B53, [1]Sheet1!$A:$F, 5, FALSE) * (RANDBETWEEN(60,100)/100)</f>
        <v>106400000000</v>
      </c>
      <c r="H53">
        <f t="shared" ca="1" si="1"/>
        <v>118104000000.00002</v>
      </c>
      <c r="I53">
        <f ca="1">IF(C53="tech", RANDBETWEEN(2,4),
 IF(C53="energy", RANDBETWEEN(5,8),
 IF(C53="finance", RANDBETWEEN(3,6),
 IF(C53="FMCG", RANDBETWEEN(2,5),
 RANDBETWEEN(4,7)))))</f>
        <v>3</v>
      </c>
      <c r="J53">
        <f t="shared" ca="1" si="3"/>
        <v>0.08</v>
      </c>
      <c r="K53">
        <f t="shared" ca="1" si="4"/>
        <v>154877642806.88916</v>
      </c>
      <c r="L53" s="4">
        <f ca="1">IFERROR(IRR(E53:H53), -1)</f>
        <v>0.77511965411973982</v>
      </c>
      <c r="M53">
        <f t="shared" ca="1" si="6"/>
        <v>1.2352904511278195</v>
      </c>
      <c r="N53" t="str">
        <f t="shared" ca="1" si="7"/>
        <v>Accept</v>
      </c>
    </row>
    <row r="54" spans="1:14" x14ac:dyDescent="0.3">
      <c r="A54" t="s">
        <v>63</v>
      </c>
      <c r="B54" t="str" cm="1">
        <f t="array" ref="B54">INDEX([1]Sheet1!$A$2:$A$26, INT((ROW()-5)/10)+1)</f>
        <v>Wipro</v>
      </c>
      <c r="C54" t="str">
        <f>VLOOKUP(B54, [1]Sheet1!$A:$B, 2, FALSE)</f>
        <v>tech</v>
      </c>
      <c r="D54">
        <f ca="1">VLOOKUP($B54, [1]Sheet1!$A:$F, 3, FALSE) * (RANDBETWEEN(10,25)/100)</f>
        <v>46693152000</v>
      </c>
      <c r="E54">
        <f t="shared" ca="1" si="0"/>
        <v>-46693152000</v>
      </c>
      <c r="F54">
        <f ca="1">VLOOKUP($B54, [1]Sheet1!$A:$F, 4, FALSE) * (RANDBETWEEN(40,70)/100)</f>
        <v>59938919999.999992</v>
      </c>
      <c r="G54">
        <f ca="1">VLOOKUP($B54, [1]Sheet1!$A:$F, 5, FALSE) * (RANDBETWEEN(60,100)/100)</f>
        <v>76608000000</v>
      </c>
      <c r="H54">
        <f ca="1">G54 * (1 + RANDBETWEEN(5,20)/100)</f>
        <v>85034880000</v>
      </c>
      <c r="I54">
        <f t="shared" ca="1" si="2"/>
        <v>2</v>
      </c>
      <c r="J54">
        <f t="shared" ca="1" si="3"/>
        <v>0.08</v>
      </c>
      <c r="K54">
        <f t="shared" ca="1" si="4"/>
        <v>141988289700.96021</v>
      </c>
      <c r="L54" s="4">
        <f t="shared" ca="1" si="5"/>
        <v>1.3257774743669986</v>
      </c>
      <c r="M54">
        <f t="shared" ca="1" si="6"/>
        <v>1</v>
      </c>
      <c r="N54" t="str">
        <f t="shared" ca="1" si="7"/>
        <v>Accept</v>
      </c>
    </row>
    <row r="55" spans="1:14" x14ac:dyDescent="0.3">
      <c r="A55" t="s">
        <v>65</v>
      </c>
      <c r="B55" t="str" cm="1">
        <f t="array" ref="B55">INDEX([1]Sheet1!$A$2:$A$26, INT((ROW()-5)/10)+1)</f>
        <v>Reliance Industries</v>
      </c>
      <c r="C55" t="str">
        <f>VLOOKUP(B55, [1]Sheet1!$A:$B, 2, FALSE)</f>
        <v>Energy</v>
      </c>
      <c r="D55">
        <f ca="1">VLOOKUP($B55, [1]Sheet1!$A:$F, 3, FALSE) * (RANDBETWEEN(10,25)/100)</f>
        <v>2100000000000</v>
      </c>
      <c r="E55">
        <f t="shared" ca="1" si="0"/>
        <v>-2100000000000</v>
      </c>
      <c r="F55">
        <f ca="1">VLOOKUP($B55, [1]Sheet1!$A:$F, 4, FALSE) * (RANDBETWEEN(40,70)/100)</f>
        <v>783360000000</v>
      </c>
      <c r="G55">
        <f ca="1">VLOOKUP($B55, [1]Sheet1!$A:$F, 5, FALSE) * (RANDBETWEEN(60,100)/100)</f>
        <v>632320000000</v>
      </c>
      <c r="H55">
        <f t="shared" ref="H55:H118" ca="1" si="8">G55 * (1 + RANDBETWEEN(5,20)/100)</f>
        <v>708198400000.00012</v>
      </c>
      <c r="I55">
        <f t="shared" ca="1" si="2"/>
        <v>5</v>
      </c>
      <c r="J55">
        <f t="shared" ca="1" si="3"/>
        <v>0.1</v>
      </c>
      <c r="K55">
        <f t="shared" ca="1" si="4"/>
        <v>-333196093163.0354</v>
      </c>
      <c r="L55" s="4">
        <f t="shared" ca="1" si="5"/>
        <v>-1</v>
      </c>
      <c r="M55">
        <f t="shared" ca="1" si="6"/>
        <v>2.966282894736842</v>
      </c>
      <c r="N55" t="str">
        <f t="shared" ca="1" si="7"/>
        <v>Reject</v>
      </c>
    </row>
    <row r="56" spans="1:14" x14ac:dyDescent="0.3">
      <c r="A56" t="s">
        <v>66</v>
      </c>
      <c r="B56" t="str" cm="1">
        <f t="array" ref="B56">INDEX([1]Sheet1!$A$2:$A$26, INT((ROW()-5)/10)+1)</f>
        <v>Reliance Industries</v>
      </c>
      <c r="C56" t="str">
        <f>VLOOKUP(B56, [1]Sheet1!$A:$B, 2, FALSE)</f>
        <v>Energy</v>
      </c>
      <c r="D56">
        <f ca="1">VLOOKUP($B56, [1]Sheet1!$A:$F, 3, FALSE) * (RANDBETWEEN(10,25)/100)</f>
        <v>1800000000000</v>
      </c>
      <c r="E56">
        <f t="shared" ca="1" si="0"/>
        <v>-1800000000000</v>
      </c>
      <c r="F56">
        <f ca="1">VLOOKUP($B56, [1]Sheet1!$A:$F, 4, FALSE) * (RANDBETWEEN(40,70)/100)</f>
        <v>697680000000</v>
      </c>
      <c r="G56">
        <f ca="1">VLOOKUP($B56, [1]Sheet1!$A:$F, 5, FALSE) * (RANDBETWEEN(60,100)/100)</f>
        <v>582400000000</v>
      </c>
      <c r="H56">
        <f t="shared" ca="1" si="8"/>
        <v>652288000000.00012</v>
      </c>
      <c r="I56">
        <f t="shared" ca="1" si="2"/>
        <v>6</v>
      </c>
      <c r="J56">
        <f t="shared" ca="1" si="3"/>
        <v>0.1</v>
      </c>
      <c r="K56">
        <f t="shared" ca="1" si="4"/>
        <v>-194349511645.37964</v>
      </c>
      <c r="L56" s="4">
        <f t="shared" ca="1" si="5"/>
        <v>-1</v>
      </c>
      <c r="M56">
        <f t="shared" ca="1" si="6"/>
        <v>2.7970712323390892</v>
      </c>
      <c r="N56" t="str">
        <f t="shared" ca="1" si="7"/>
        <v>Reject</v>
      </c>
    </row>
    <row r="57" spans="1:14" x14ac:dyDescent="0.3">
      <c r="A57" t="s">
        <v>67</v>
      </c>
      <c r="B57" t="str" cm="1">
        <f t="array" ref="B57">INDEX([1]Sheet1!$A$2:$A$26, INT((ROW()-5)/10)+1)</f>
        <v>Reliance Industries</v>
      </c>
      <c r="C57" t="str">
        <f>VLOOKUP(B57, [1]Sheet1!$A:$B, 2, FALSE)</f>
        <v>Energy</v>
      </c>
      <c r="D57">
        <f ca="1">VLOOKUP($B57, [1]Sheet1!$A:$F, 3, FALSE) * (RANDBETWEEN(10,25)/100)</f>
        <v>2100000000000</v>
      </c>
      <c r="E57">
        <f t="shared" ca="1" si="0"/>
        <v>-2100000000000</v>
      </c>
      <c r="F57">
        <f ca="1">VLOOKUP($B57, [1]Sheet1!$A:$F, 4, FALSE) * (RANDBETWEEN(40,70)/100)</f>
        <v>856800000000</v>
      </c>
      <c r="G57">
        <f ca="1">VLOOKUP($B57, [1]Sheet1!$A:$F, 5, FALSE) * (RANDBETWEEN(60,100)/100)</f>
        <v>757120000000</v>
      </c>
      <c r="H57">
        <f t="shared" ca="1" si="8"/>
        <v>878259200000</v>
      </c>
      <c r="I57">
        <f t="shared" ca="1" si="2"/>
        <v>6</v>
      </c>
      <c r="J57">
        <f t="shared" ca="1" si="3"/>
        <v>0.1</v>
      </c>
      <c r="K57">
        <f t="shared" ca="1" si="4"/>
        <v>-35522764838.467529</v>
      </c>
      <c r="L57" s="4">
        <f t="shared" ca="1" si="5"/>
        <v>-1</v>
      </c>
      <c r="M57">
        <f t="shared" ca="1" si="6"/>
        <v>2.5534584778616609</v>
      </c>
      <c r="N57" t="str">
        <f t="shared" ca="1" si="7"/>
        <v>Reject</v>
      </c>
    </row>
    <row r="58" spans="1:14" x14ac:dyDescent="0.3">
      <c r="A58" t="s">
        <v>68</v>
      </c>
      <c r="B58" t="str" cm="1">
        <f t="array" ref="B58">INDEX([1]Sheet1!$A$2:$A$26, INT((ROW()-5)/10)+1)</f>
        <v>Reliance Industries</v>
      </c>
      <c r="C58" t="str">
        <f>VLOOKUP(B58, [1]Sheet1!$A:$B, 2, FALSE)</f>
        <v>Energy</v>
      </c>
      <c r="D58">
        <f ca="1">VLOOKUP($B58, [1]Sheet1!$A:$F, 3, FALSE) * (RANDBETWEEN(10,25)/100)</f>
        <v>1500000000000</v>
      </c>
      <c r="E58">
        <f t="shared" ca="1" si="0"/>
        <v>-1500000000000</v>
      </c>
      <c r="F58">
        <f ca="1">VLOOKUP($B58, [1]Sheet1!$A:$F, 4, FALSE) * (RANDBETWEEN(40,70)/100)</f>
        <v>673200000000</v>
      </c>
      <c r="G58">
        <f ca="1">VLOOKUP($B58, [1]Sheet1!$A:$F, 5, FALSE) * (RANDBETWEEN(60,100)/100)</f>
        <v>632320000000</v>
      </c>
      <c r="H58">
        <f t="shared" ca="1" si="8"/>
        <v>720844800000.00012</v>
      </c>
      <c r="I58">
        <f t="shared" ca="1" si="2"/>
        <v>6</v>
      </c>
      <c r="J58">
        <f t="shared" ca="1" si="3"/>
        <v>0.1</v>
      </c>
      <c r="K58">
        <f t="shared" ca="1" si="4"/>
        <v>176159879789.63159</v>
      </c>
      <c r="L58" s="4">
        <f t="shared" ca="1" si="5"/>
        <v>0.16485426989821517</v>
      </c>
      <c r="M58">
        <f t="shared" ca="1" si="6"/>
        <v>2.2697945521698983</v>
      </c>
      <c r="N58" t="str">
        <f t="shared" ca="1" si="7"/>
        <v>Accept</v>
      </c>
    </row>
    <row r="59" spans="1:14" x14ac:dyDescent="0.3">
      <c r="A59" t="s">
        <v>69</v>
      </c>
      <c r="B59" t="str" cm="1">
        <f t="array" ref="B59">INDEX([1]Sheet1!$A$2:$A$26, INT((ROW()-5)/10)+1)</f>
        <v>Reliance Industries</v>
      </c>
      <c r="C59" t="str">
        <f>VLOOKUP(B59, [1]Sheet1!$A:$B, 2, FALSE)</f>
        <v>Energy</v>
      </c>
      <c r="D59">
        <f ca="1">VLOOKUP($B59, [1]Sheet1!$A:$F, 3, FALSE) * (RANDBETWEEN(10,25)/100)</f>
        <v>1800000000000</v>
      </c>
      <c r="E59">
        <f t="shared" ca="1" si="0"/>
        <v>-1800000000000</v>
      </c>
      <c r="F59">
        <f ca="1">VLOOKUP($B59, [1]Sheet1!$A:$F, 4, FALSE) * (RANDBETWEEN(40,70)/100)</f>
        <v>673200000000</v>
      </c>
      <c r="G59">
        <f ca="1">VLOOKUP($B59, [1]Sheet1!$A:$F, 5, FALSE) * (RANDBETWEEN(60,100)/100)</f>
        <v>782080000000</v>
      </c>
      <c r="H59">
        <f t="shared" ca="1" si="8"/>
        <v>938496000000</v>
      </c>
      <c r="I59">
        <f t="shared" ca="1" si="2"/>
        <v>7</v>
      </c>
      <c r="J59">
        <f t="shared" ca="1" si="3"/>
        <v>0.12</v>
      </c>
      <c r="K59">
        <f t="shared" ca="1" si="4"/>
        <v>92543731778.425293</v>
      </c>
      <c r="L59" s="4">
        <f t="shared" ca="1" si="5"/>
        <v>-1</v>
      </c>
      <c r="M59">
        <f t="shared" ca="1" si="6"/>
        <v>2.3673111020185487</v>
      </c>
      <c r="N59" t="str">
        <f t="shared" ca="1" si="7"/>
        <v>Reject</v>
      </c>
    </row>
    <row r="60" spans="1:14" x14ac:dyDescent="0.3">
      <c r="A60" t="s">
        <v>70</v>
      </c>
      <c r="B60" t="str" cm="1">
        <f t="array" ref="B60">INDEX([1]Sheet1!$A$2:$A$26, INT((ROW()-5)/10)+1)</f>
        <v>Reliance Industries</v>
      </c>
      <c r="C60" t="str">
        <f>VLOOKUP(B60, [1]Sheet1!$A:$B, 2, FALSE)</f>
        <v>Energy</v>
      </c>
      <c r="D60">
        <f ca="1">VLOOKUP($B60, [1]Sheet1!$A:$F, 3, FALSE) * (RANDBETWEEN(10,25)/100)</f>
        <v>2500000000000</v>
      </c>
      <c r="E60">
        <f t="shared" ca="1" si="0"/>
        <v>-2500000000000</v>
      </c>
      <c r="F60">
        <f ca="1">VLOOKUP($B60, [1]Sheet1!$A:$F, 4, FALSE) * (RANDBETWEEN(40,70)/100)</f>
        <v>746640000000</v>
      </c>
      <c r="G60">
        <f ca="1">VLOOKUP($B60, [1]Sheet1!$A:$F, 5, FALSE) * (RANDBETWEEN(60,100)/100)</f>
        <v>823680000000</v>
      </c>
      <c r="H60">
        <f t="shared" ca="1" si="8"/>
        <v>889574400000</v>
      </c>
      <c r="I60">
        <f t="shared" ca="1" si="2"/>
        <v>6</v>
      </c>
      <c r="J60">
        <f t="shared" ca="1" si="3"/>
        <v>0.1</v>
      </c>
      <c r="K60">
        <f t="shared" ca="1" si="4"/>
        <v>-472158677685.95068</v>
      </c>
      <c r="L60" s="4">
        <f t="shared" ca="1" si="5"/>
        <v>-7.8172460717182979E-3</v>
      </c>
      <c r="M60" t="str">
        <f t="shared" ca="1" si="6"/>
        <v>&gt;3</v>
      </c>
      <c r="N60" t="str">
        <f t="shared" ca="1" si="7"/>
        <v>Reject</v>
      </c>
    </row>
    <row r="61" spans="1:14" x14ac:dyDescent="0.3">
      <c r="A61" t="s">
        <v>71</v>
      </c>
      <c r="B61" t="str" cm="1">
        <f t="array" ref="B61">INDEX([1]Sheet1!$A$2:$A$26, INT((ROW()-5)/10)+1)</f>
        <v>Reliance Industries</v>
      </c>
      <c r="C61" t="str">
        <f>VLOOKUP(B61, [1]Sheet1!$A:$B, 2, FALSE)</f>
        <v>Energy</v>
      </c>
      <c r="D61">
        <f ca="1">VLOOKUP($B61, [1]Sheet1!$A:$F, 3, FALSE) * (RANDBETWEEN(10,25)/100)</f>
        <v>2500000000000</v>
      </c>
      <c r="E61">
        <f t="shared" ca="1" si="0"/>
        <v>-2500000000000</v>
      </c>
      <c r="F61">
        <f ca="1">VLOOKUP($B61, [1]Sheet1!$A:$F, 4, FALSE) * (RANDBETWEEN(40,70)/100)</f>
        <v>538560000000</v>
      </c>
      <c r="G61">
        <f ca="1">VLOOKUP($B61, [1]Sheet1!$A:$F, 5, FALSE) * (RANDBETWEEN(60,100)/100)</f>
        <v>607360000000</v>
      </c>
      <c r="H61">
        <f t="shared" ca="1" si="8"/>
        <v>668096000000</v>
      </c>
      <c r="I61">
        <f t="shared" ca="1" si="2"/>
        <v>8</v>
      </c>
      <c r="J61">
        <f t="shared" ca="1" si="3"/>
        <v>0.12</v>
      </c>
      <c r="K61">
        <f t="shared" ca="1" si="4"/>
        <v>-1059421647230.3208</v>
      </c>
      <c r="L61" s="4">
        <f t="shared" ca="1" si="5"/>
        <v>-1</v>
      </c>
      <c r="M61" t="str">
        <f t="shared" ca="1" si="6"/>
        <v>&gt;3</v>
      </c>
      <c r="N61" t="str">
        <f t="shared" ca="1" si="7"/>
        <v>Reject</v>
      </c>
    </row>
    <row r="62" spans="1:14" x14ac:dyDescent="0.3">
      <c r="A62" t="s">
        <v>72</v>
      </c>
      <c r="B62" t="str" cm="1">
        <f t="array" ref="B62">INDEX([1]Sheet1!$A$2:$A$26, INT((ROW()-5)/10)+1)</f>
        <v>Reliance Industries</v>
      </c>
      <c r="C62" t="str">
        <f>VLOOKUP(B62, [1]Sheet1!$A:$B, 2, FALSE)</f>
        <v>Energy</v>
      </c>
      <c r="D62">
        <f ca="1">VLOOKUP($B62, [1]Sheet1!$A:$F, 3, FALSE) * (RANDBETWEEN(10,25)/100)</f>
        <v>1700000000000</v>
      </c>
      <c r="E62">
        <f t="shared" ca="1" si="0"/>
        <v>-1700000000000</v>
      </c>
      <c r="F62">
        <f ca="1">VLOOKUP($B62, [1]Sheet1!$A:$F, 4, FALSE) * (RANDBETWEEN(40,70)/100)</f>
        <v>514080000000</v>
      </c>
      <c r="G62">
        <f ca="1">VLOOKUP($B62, [1]Sheet1!$A:$F, 5, FALSE) * (RANDBETWEEN(60,100)/100)</f>
        <v>765440000000</v>
      </c>
      <c r="H62">
        <f t="shared" ca="1" si="8"/>
        <v>887910399999.99988</v>
      </c>
      <c r="I62">
        <f t="shared" ca="1" si="2"/>
        <v>8</v>
      </c>
      <c r="J62">
        <f t="shared" ca="1" si="3"/>
        <v>0.12</v>
      </c>
      <c r="K62">
        <f t="shared" ca="1" si="4"/>
        <v>1201166180.7575684</v>
      </c>
      <c r="L62" s="4">
        <f t="shared" ca="1" si="5"/>
        <v>-1</v>
      </c>
      <c r="M62">
        <f t="shared" ca="1" si="6"/>
        <v>2.4735612962749394</v>
      </c>
      <c r="N62" t="str">
        <f t="shared" ca="1" si="7"/>
        <v>Reject</v>
      </c>
    </row>
    <row r="63" spans="1:14" x14ac:dyDescent="0.3">
      <c r="A63" t="s">
        <v>73</v>
      </c>
      <c r="B63" t="str" cm="1">
        <f t="array" ref="B63">INDEX([1]Sheet1!$A$2:$A$26, INT((ROW()-5)/10)+1)</f>
        <v>Reliance Industries</v>
      </c>
      <c r="C63" t="str">
        <f>VLOOKUP(B63, [1]Sheet1!$A:$B, 2, FALSE)</f>
        <v>Energy</v>
      </c>
      <c r="D63">
        <f ca="1">VLOOKUP($B63, [1]Sheet1!$A:$F, 3, FALSE) * (RANDBETWEEN(10,25)/100)</f>
        <v>2300000000000</v>
      </c>
      <c r="E63">
        <f t="shared" ca="1" si="0"/>
        <v>-2300000000000</v>
      </c>
      <c r="F63">
        <f ca="1">VLOOKUP($B63, [1]Sheet1!$A:$F, 4, FALSE) * (RANDBETWEEN(40,70)/100)</f>
        <v>685440000000.00012</v>
      </c>
      <c r="G63">
        <f ca="1">VLOOKUP($B63, [1]Sheet1!$A:$F, 5, FALSE) * (RANDBETWEEN(60,100)/100)</f>
        <v>574080000000</v>
      </c>
      <c r="H63">
        <f t="shared" ca="1" si="8"/>
        <v>688896000000</v>
      </c>
      <c r="I63">
        <f t="shared" ca="1" si="2"/>
        <v>8</v>
      </c>
      <c r="J63">
        <f t="shared" ca="1" si="3"/>
        <v>0.12</v>
      </c>
      <c r="K63">
        <f t="shared" ca="1" si="4"/>
        <v>-740004373177.84277</v>
      </c>
      <c r="L63" s="4">
        <f t="shared" ca="1" si="5"/>
        <v>-7.8449389919546642E-2</v>
      </c>
      <c r="M63" t="str">
        <f t="shared" ca="1" si="6"/>
        <v>&gt;3</v>
      </c>
      <c r="N63" t="str">
        <f t="shared" ca="1" si="7"/>
        <v>Reject</v>
      </c>
    </row>
    <row r="64" spans="1:14" x14ac:dyDescent="0.3">
      <c r="A64" t="s">
        <v>74</v>
      </c>
      <c r="B64" t="str" cm="1">
        <f t="array" ref="B64">INDEX([1]Sheet1!$A$2:$A$26, INT((ROW()-5)/10)+1)</f>
        <v>Reliance Industries</v>
      </c>
      <c r="C64" t="str">
        <f>VLOOKUP(B64, [1]Sheet1!$A:$B, 2, FALSE)</f>
        <v>Energy</v>
      </c>
      <c r="D64">
        <f ca="1">VLOOKUP($B64, [1]Sheet1!$A:$F, 3, FALSE) * (RANDBETWEEN(10,25)/100)</f>
        <v>1200000000000</v>
      </c>
      <c r="E64">
        <f t="shared" ca="1" si="0"/>
        <v>-1200000000000</v>
      </c>
      <c r="F64">
        <f ca="1">VLOOKUP($B64, [1]Sheet1!$A:$F, 4, FALSE) * (RANDBETWEEN(40,70)/100)</f>
        <v>612000000000</v>
      </c>
      <c r="G64">
        <f ca="1">VLOOKUP($B64, [1]Sheet1!$A:$F, 5, FALSE) * (RANDBETWEEN(60,100)/100)</f>
        <v>815360000000</v>
      </c>
      <c r="H64">
        <f t="shared" ca="1" si="8"/>
        <v>864281600000</v>
      </c>
      <c r="I64">
        <f t="shared" ca="1" si="2"/>
        <v>6</v>
      </c>
      <c r="J64">
        <f t="shared" ca="1" si="3"/>
        <v>0.1</v>
      </c>
      <c r="K64">
        <f t="shared" ca="1" si="4"/>
        <v>679562434259.95459</v>
      </c>
      <c r="L64" s="4">
        <f t="shared" ca="1" si="5"/>
        <v>0.38029517678008018</v>
      </c>
      <c r="M64">
        <f t="shared" ca="1" si="6"/>
        <v>1.7211538461538463</v>
      </c>
      <c r="N64" t="str">
        <f t="shared" ca="1" si="7"/>
        <v>Accept</v>
      </c>
    </row>
    <row r="65" spans="1:14" x14ac:dyDescent="0.3">
      <c r="A65" t="s">
        <v>75</v>
      </c>
      <c r="B65" t="str" cm="1">
        <f t="array" ref="B65">INDEX([1]Sheet1!$A$2:$A$26, INT((ROW()-5)/10)+1)</f>
        <v>ONGC</v>
      </c>
      <c r="C65" t="str">
        <f>VLOOKUP(B65, [1]Sheet1!$A:$B, 2, FALSE)</f>
        <v>Energy</v>
      </c>
      <c r="D65">
        <f ca="1">VLOOKUP($B65, [1]Sheet1!$A:$F, 3, FALSE) * (RANDBETWEEN(10,25)/100)</f>
        <v>1050000000000</v>
      </c>
      <c r="E65">
        <f t="shared" ca="1" si="0"/>
        <v>-1050000000000</v>
      </c>
      <c r="F65">
        <f ca="1">VLOOKUP($B65, [1]Sheet1!$A:$F, 4, FALSE) * (RANDBETWEEN(40,70)/100)</f>
        <v>646272000000</v>
      </c>
      <c r="G65">
        <f ca="1">VLOOKUP($B65, [1]Sheet1!$A:$F, 5, FALSE) * (RANDBETWEEN(60,100)/100)</f>
        <v>687232000000</v>
      </c>
      <c r="H65">
        <f t="shared" ca="1" si="8"/>
        <v>769699840000.00012</v>
      </c>
      <c r="I65">
        <f t="shared" ca="1" si="2"/>
        <v>6</v>
      </c>
      <c r="J65">
        <f t="shared" ca="1" si="3"/>
        <v>0.1</v>
      </c>
      <c r="K65">
        <f t="shared" ca="1" si="4"/>
        <v>683767212622.08838</v>
      </c>
      <c r="L65" s="4">
        <f t="shared" ca="1" si="5"/>
        <v>-1</v>
      </c>
      <c r="M65">
        <f t="shared" ca="1" si="6"/>
        <v>1.5874697336561745</v>
      </c>
      <c r="N65" t="str">
        <f t="shared" ca="1" si="7"/>
        <v>Reject</v>
      </c>
    </row>
    <row r="66" spans="1:14" x14ac:dyDescent="0.3">
      <c r="A66" t="s">
        <v>76</v>
      </c>
      <c r="B66" t="str" cm="1">
        <f t="array" ref="B66">INDEX([1]Sheet1!$A$2:$A$26, INT((ROW()-5)/10)+1)</f>
        <v>ONGC</v>
      </c>
      <c r="C66" t="str">
        <f>VLOOKUP(B66, [1]Sheet1!$A:$B, 2, FALSE)</f>
        <v>Energy</v>
      </c>
      <c r="D66">
        <f ca="1">VLOOKUP($B66, [1]Sheet1!$A:$F, 3, FALSE) * (RANDBETWEEN(10,25)/100)</f>
        <v>1890000000000</v>
      </c>
      <c r="E66">
        <f t="shared" ca="1" si="0"/>
        <v>-1890000000000</v>
      </c>
      <c r="F66">
        <f ca="1">VLOOKUP($B66, [1]Sheet1!$A:$F, 4, FALSE) * (RANDBETWEEN(40,70)/100)</f>
        <v>799027200000</v>
      </c>
      <c r="G66">
        <f ca="1">VLOOKUP($B66, [1]Sheet1!$A:$F, 5, FALSE) * (RANDBETWEEN(60,100)/100)</f>
        <v>903219200000</v>
      </c>
      <c r="H66">
        <f t="shared" ca="1" si="8"/>
        <v>1056766463999.9999</v>
      </c>
      <c r="I66">
        <f t="shared" ca="1" si="2"/>
        <v>8</v>
      </c>
      <c r="J66">
        <f t="shared" ca="1" si="3"/>
        <v>0.12</v>
      </c>
      <c r="K66">
        <f t="shared" ca="1" si="4"/>
        <v>295643454810.49512</v>
      </c>
      <c r="L66" s="4">
        <f t="shared" ca="1" si="5"/>
        <v>-1</v>
      </c>
      <c r="M66">
        <f t="shared" ca="1" si="6"/>
        <v>2.1776680150213399</v>
      </c>
      <c r="N66" t="str">
        <f t="shared" ca="1" si="7"/>
        <v>Reject</v>
      </c>
    </row>
    <row r="67" spans="1:14" x14ac:dyDescent="0.3">
      <c r="A67" t="s">
        <v>77</v>
      </c>
      <c r="B67" t="str" cm="1">
        <f t="array" ref="B67">INDEX([1]Sheet1!$A$2:$A$26, INT((ROW()-5)/10)+1)</f>
        <v>ONGC</v>
      </c>
      <c r="C67" t="str">
        <f>VLOOKUP(B67, [1]Sheet1!$A:$B, 2, FALSE)</f>
        <v>Energy</v>
      </c>
      <c r="D67">
        <f ca="1">VLOOKUP($B67, [1]Sheet1!$A:$F, 3, FALSE) * (RANDBETWEEN(10,25)/100)</f>
        <v>1680000000000</v>
      </c>
      <c r="E67">
        <f t="shared" ca="1" si="0"/>
        <v>-1680000000000</v>
      </c>
      <c r="F67">
        <f ca="1">VLOOKUP($B67, [1]Sheet1!$A:$F, 4, FALSE) * (RANDBETWEEN(40,70)/100)</f>
        <v>599270400000</v>
      </c>
      <c r="G67">
        <f ca="1">VLOOKUP($B67, [1]Sheet1!$A:$F, 5, FALSE) * (RANDBETWEEN(60,100)/100)</f>
        <v>932672000000</v>
      </c>
      <c r="H67">
        <f t="shared" ca="1" si="8"/>
        <v>1035265920000.0001</v>
      </c>
      <c r="I67">
        <f t="shared" ca="1" si="2"/>
        <v>6</v>
      </c>
      <c r="J67">
        <f t="shared" ca="1" si="3"/>
        <v>0.1</v>
      </c>
      <c r="K67">
        <f t="shared" ca="1" si="4"/>
        <v>413405187077.38501</v>
      </c>
      <c r="L67" s="4">
        <f t="shared" ca="1" si="5"/>
        <v>0.22282200017599862</v>
      </c>
      <c r="M67">
        <f t="shared" ca="1" si="6"/>
        <v>2.1430140770015882</v>
      </c>
      <c r="N67" t="str">
        <f t="shared" ca="1" si="7"/>
        <v>Accept</v>
      </c>
    </row>
    <row r="68" spans="1:14" x14ac:dyDescent="0.3">
      <c r="A68" t="s">
        <v>78</v>
      </c>
      <c r="B68" t="str" cm="1">
        <f t="array" ref="B68">INDEX([1]Sheet1!$A$2:$A$26, INT((ROW()-5)/10)+1)</f>
        <v>ONGC</v>
      </c>
      <c r="C68" t="str">
        <f>VLOOKUP(B68, [1]Sheet1!$A:$B, 2, FALSE)</f>
        <v>Energy</v>
      </c>
      <c r="D68">
        <f ca="1">VLOOKUP($B68, [1]Sheet1!$A:$F, 3, FALSE) * (RANDBETWEEN(10,25)/100)</f>
        <v>2310000000000</v>
      </c>
      <c r="E68">
        <f t="shared" ca="1" si="0"/>
        <v>-2310000000000</v>
      </c>
      <c r="F68">
        <f ca="1">VLOOKUP($B68, [1]Sheet1!$A:$F, 4, FALSE) * (RANDBETWEEN(40,70)/100)</f>
        <v>481766400000</v>
      </c>
      <c r="G68">
        <f ca="1">VLOOKUP($B68, [1]Sheet1!$A:$F, 5, FALSE) * (RANDBETWEEN(60,100)/100)</f>
        <v>932672000000</v>
      </c>
      <c r="H68">
        <f t="shared" ca="1" si="8"/>
        <v>988632320000</v>
      </c>
      <c r="I68">
        <f t="shared" ca="1" si="2"/>
        <v>5</v>
      </c>
      <c r="J68">
        <f t="shared" ca="1" si="3"/>
        <v>0.1</v>
      </c>
      <c r="K68">
        <f t="shared" ca="1" si="4"/>
        <v>-358453145003.75684</v>
      </c>
      <c r="L68" s="4">
        <f t="shared" ca="1" si="5"/>
        <v>-1</v>
      </c>
      <c r="M68">
        <f t="shared" ca="1" si="6"/>
        <v>2.9058591165621612</v>
      </c>
      <c r="N68" t="str">
        <f t="shared" ca="1" si="7"/>
        <v>Reject</v>
      </c>
    </row>
    <row r="69" spans="1:14" x14ac:dyDescent="0.3">
      <c r="A69" t="s">
        <v>79</v>
      </c>
      <c r="B69" t="str" cm="1">
        <f t="array" ref="B69">INDEX([1]Sheet1!$A$2:$A$26, INT((ROW()-5)/10)+1)</f>
        <v>ONGC</v>
      </c>
      <c r="C69" t="str">
        <f>VLOOKUP(B69, [1]Sheet1!$A:$B, 2, FALSE)</f>
        <v>Energy</v>
      </c>
      <c r="D69">
        <f ca="1">VLOOKUP($B69, [1]Sheet1!$A:$F, 3, FALSE) * (RANDBETWEEN(10,25)/100)</f>
        <v>2310000000000</v>
      </c>
      <c r="E69">
        <f t="shared" ca="1" si="0"/>
        <v>-2310000000000</v>
      </c>
      <c r="F69">
        <f ca="1">VLOOKUP($B69, [1]Sheet1!$A:$F, 4, FALSE) * (RANDBETWEEN(40,70)/100)</f>
        <v>575769600000</v>
      </c>
      <c r="G69">
        <f ca="1">VLOOKUP($B69, [1]Sheet1!$A:$F, 5, FALSE) * (RANDBETWEEN(60,100)/100)</f>
        <v>677414400000</v>
      </c>
      <c r="H69">
        <f t="shared" ca="1" si="8"/>
        <v>738381696000</v>
      </c>
      <c r="I69">
        <f t="shared" ca="1" si="2"/>
        <v>7</v>
      </c>
      <c r="J69">
        <f t="shared" ca="1" si="3"/>
        <v>0.12</v>
      </c>
      <c r="K69">
        <f t="shared" ca="1" si="4"/>
        <v>-730323881195.33545</v>
      </c>
      <c r="L69" s="4">
        <f t="shared" ca="1" si="5"/>
        <v>-1</v>
      </c>
      <c r="M69" t="str">
        <f t="shared" ca="1" si="6"/>
        <v>&gt;3</v>
      </c>
      <c r="N69" t="str">
        <f t="shared" ca="1" si="7"/>
        <v>Reject</v>
      </c>
    </row>
    <row r="70" spans="1:14" x14ac:dyDescent="0.3">
      <c r="A70" t="s">
        <v>80</v>
      </c>
      <c r="B70" t="str" cm="1">
        <f t="array" ref="B70">INDEX([1]Sheet1!$A$2:$A$26, INT((ROW()-5)/10)+1)</f>
        <v>ONGC</v>
      </c>
      <c r="C70" t="str">
        <f>VLOOKUP(B70, [1]Sheet1!$A:$B, 2, FALSE)</f>
        <v>Energy</v>
      </c>
      <c r="D70">
        <f ca="1">VLOOKUP($B70, [1]Sheet1!$A:$F, 3, FALSE) * (RANDBETWEEN(10,25)/100)</f>
        <v>1155000000000</v>
      </c>
      <c r="E70">
        <f t="shared" ref="E70:E133" ca="1" si="9">-D70</f>
        <v>-1155000000000</v>
      </c>
      <c r="F70">
        <f ca="1">VLOOKUP($B70, [1]Sheet1!$A:$F, 4, FALSE) * (RANDBETWEEN(40,70)/100)</f>
        <v>810777599999.99988</v>
      </c>
      <c r="G70">
        <f ca="1">VLOOKUP($B70, [1]Sheet1!$A:$F, 5, FALSE) * (RANDBETWEEN(60,100)/100)</f>
        <v>697049600000</v>
      </c>
      <c r="H70">
        <f t="shared" ca="1" si="8"/>
        <v>745843072000</v>
      </c>
      <c r="I70">
        <f t="shared" ref="I70:I133" ca="1" si="10">IF(C70="tech", RANDBETWEEN(2,4),
 IF(C70="energy", RANDBETWEEN(5,8),
 IF(C70="finance", RANDBETWEEN(3,6),
 IF(C70="FMCG", RANDBETWEEN(2,5),
 RANDBETWEEN(4,7)))))</f>
        <v>8</v>
      </c>
      <c r="J70">
        <f t="shared" ref="J70:J133" ca="1" si="11">IFERROR(
IF(I70&lt;=3,0.08,
IF(I70&lt;=6,0.1,
IF(I70&lt;=8,0.12,
0.15))),
"")</f>
        <v>0.12</v>
      </c>
      <c r="K70">
        <f t="shared" ref="K70:K135" ca="1" si="12">F70/(1+J70)^1 + G70/(1+J70)^2 + H70/(1+J70)^3 - D70</f>
        <v>655468611516.03467</v>
      </c>
      <c r="L70" s="4">
        <f t="shared" ref="L70:L133" ca="1" si="13">IFERROR(IRR(E70:H70), -1)</f>
        <v>0.43564944020683027</v>
      </c>
      <c r="M70">
        <f t="shared" ref="M70:M133" ca="1" si="14">IF(F70&gt;=D70,1,
IF(F70+G70&gt;=D70,1+(D70-F70)/G70,
IF(F70+G70+H70&gt;=D70,2+(D70-F70-G70)/H70,
"&gt;3")))</f>
        <v>1.4938276989184129</v>
      </c>
      <c r="N70" t="str">
        <f t="shared" ref="N70:N133" ca="1" si="15">IF(AND(K70&gt;0,L70&gt;J70),"Accept","Reject")</f>
        <v>Accept</v>
      </c>
    </row>
    <row r="71" spans="1:14" x14ac:dyDescent="0.3">
      <c r="A71" t="s">
        <v>81</v>
      </c>
      <c r="B71" t="str" cm="1">
        <f t="array" ref="B71">INDEX([1]Sheet1!$A$2:$A$26, INT((ROW()-5)/10)+1)</f>
        <v>ONGC</v>
      </c>
      <c r="C71" t="str">
        <f>VLOOKUP(B71, [1]Sheet1!$A:$B, 2, FALSE)</f>
        <v>Energy</v>
      </c>
      <c r="D71">
        <f ca="1">VLOOKUP($B71, [1]Sheet1!$A:$F, 3, FALSE) * (RANDBETWEEN(10,25)/100)</f>
        <v>2100000000000</v>
      </c>
      <c r="E71">
        <f t="shared" ca="1" si="9"/>
        <v>-2100000000000</v>
      </c>
      <c r="F71">
        <f ca="1">VLOOKUP($B71, [1]Sheet1!$A:$F, 4, FALSE) * (RANDBETWEEN(40,70)/100)</f>
        <v>470016000000</v>
      </c>
      <c r="G71">
        <f ca="1">VLOOKUP($B71, [1]Sheet1!$A:$F, 5, FALSE) * (RANDBETWEEN(60,100)/100)</f>
        <v>755955200000</v>
      </c>
      <c r="H71">
        <f t="shared" ca="1" si="8"/>
        <v>899586688000</v>
      </c>
      <c r="I71">
        <f t="shared" ca="1" si="10"/>
        <v>7</v>
      </c>
      <c r="J71">
        <f t="shared" ca="1" si="11"/>
        <v>0.12</v>
      </c>
      <c r="K71">
        <f t="shared" ca="1" si="12"/>
        <v>-437391964285.7146</v>
      </c>
      <c r="L71" s="4">
        <f t="shared" ca="1" si="13"/>
        <v>-1</v>
      </c>
      <c r="M71">
        <f t="shared" ca="1" si="14"/>
        <v>2.9715892994628219</v>
      </c>
      <c r="N71" t="str">
        <f t="shared" ca="1" si="15"/>
        <v>Reject</v>
      </c>
    </row>
    <row r="72" spans="1:14" x14ac:dyDescent="0.3">
      <c r="A72" t="s">
        <v>82</v>
      </c>
      <c r="B72" t="str" cm="1">
        <f t="array" ref="B72">INDEX([1]Sheet1!$A$2:$A$26, INT((ROW()-5)/10)+1)</f>
        <v>ONGC</v>
      </c>
      <c r="C72" t="str">
        <f>VLOOKUP(B72, [1]Sheet1!$A:$B, 2, FALSE)</f>
        <v>Energy</v>
      </c>
      <c r="D72">
        <f ca="1">VLOOKUP($B72, [1]Sheet1!$A:$F, 3, FALSE) * (RANDBETWEEN(10,25)/100)</f>
        <v>2205000000000</v>
      </c>
      <c r="E72">
        <f t="shared" ca="1" si="9"/>
        <v>-2205000000000</v>
      </c>
      <c r="F72">
        <f ca="1">VLOOKUP($B72, [1]Sheet1!$A:$F, 4, FALSE) * (RANDBETWEEN(40,70)/100)</f>
        <v>575769600000</v>
      </c>
      <c r="G72">
        <f ca="1">VLOOKUP($B72, [1]Sheet1!$A:$F, 5, FALSE) * (RANDBETWEEN(60,100)/100)</f>
        <v>932672000000</v>
      </c>
      <c r="H72">
        <f t="shared" ca="1" si="8"/>
        <v>997959040000</v>
      </c>
      <c r="I72">
        <f t="shared" ca="1" si="10"/>
        <v>5</v>
      </c>
      <c r="J72">
        <f t="shared" ca="1" si="11"/>
        <v>0.1</v>
      </c>
      <c r="K72">
        <f t="shared" ca="1" si="12"/>
        <v>-160988387678.4375</v>
      </c>
      <c r="L72" s="4">
        <f t="shared" ca="1" si="13"/>
        <v>-1</v>
      </c>
      <c r="M72">
        <f t="shared" ca="1" si="14"/>
        <v>2.6979829552924337</v>
      </c>
      <c r="N72" t="str">
        <f t="shared" ca="1" si="15"/>
        <v>Reject</v>
      </c>
    </row>
    <row r="73" spans="1:14" x14ac:dyDescent="0.3">
      <c r="A73" t="s">
        <v>83</v>
      </c>
      <c r="B73" t="str" cm="1">
        <f t="array" ref="B73">INDEX([1]Sheet1!$A$2:$A$26, INT((ROW()-5)/10)+1)</f>
        <v>ONGC</v>
      </c>
      <c r="C73" t="str">
        <f>VLOOKUP(B73, [1]Sheet1!$A:$B, 2, FALSE)</f>
        <v>Energy</v>
      </c>
      <c r="D73">
        <f ca="1">VLOOKUP($B73, [1]Sheet1!$A:$F, 3, FALSE) * (RANDBETWEEN(10,25)/100)</f>
        <v>2205000000000</v>
      </c>
      <c r="E73">
        <f t="shared" ca="1" si="9"/>
        <v>-2205000000000</v>
      </c>
      <c r="F73">
        <f ca="1">VLOOKUP($B73, [1]Sheet1!$A:$F, 4, FALSE) * (RANDBETWEEN(40,70)/100)</f>
        <v>669772800000</v>
      </c>
      <c r="G73">
        <f ca="1">VLOOKUP($B73, [1]Sheet1!$A:$F, 5, FALSE) * (RANDBETWEEN(60,100)/100)</f>
        <v>628326400000</v>
      </c>
      <c r="H73">
        <f t="shared" ca="1" si="8"/>
        <v>716292096000.00012</v>
      </c>
      <c r="I73">
        <f t="shared" ca="1" si="10"/>
        <v>6</v>
      </c>
      <c r="J73">
        <f t="shared" ca="1" si="11"/>
        <v>0.1</v>
      </c>
      <c r="K73">
        <f t="shared" ca="1" si="12"/>
        <v>-538676766341.09717</v>
      </c>
      <c r="L73" s="4">
        <f t="shared" ca="1" si="13"/>
        <v>-1</v>
      </c>
      <c r="M73" t="str">
        <f t="shared" ca="1" si="14"/>
        <v>&gt;3</v>
      </c>
      <c r="N73" t="str">
        <f t="shared" ca="1" si="15"/>
        <v>Reject</v>
      </c>
    </row>
    <row r="74" spans="1:14" x14ac:dyDescent="0.3">
      <c r="A74" t="s">
        <v>84</v>
      </c>
      <c r="B74" t="str" cm="1">
        <f t="array" ref="B74">INDEX([1]Sheet1!$A$2:$A$26, INT((ROW()-5)/10)+1)</f>
        <v>ONGC</v>
      </c>
      <c r="C74" t="str">
        <f>VLOOKUP(B74, [1]Sheet1!$A:$B, 2, FALSE)</f>
        <v>Energy</v>
      </c>
      <c r="D74">
        <f ca="1">VLOOKUP($B74, [1]Sheet1!$A:$F, 3, FALSE) * (RANDBETWEEN(10,25)/100)</f>
        <v>1995000000000</v>
      </c>
      <c r="E74">
        <f t="shared" ca="1" si="9"/>
        <v>-1995000000000</v>
      </c>
      <c r="F74">
        <f ca="1">VLOOKUP($B74, [1]Sheet1!$A:$F, 4, FALSE) * (RANDBETWEEN(40,70)/100)</f>
        <v>470016000000</v>
      </c>
      <c r="G74">
        <f ca="1">VLOOKUP($B74, [1]Sheet1!$A:$F, 5, FALSE) * (RANDBETWEEN(60,100)/100)</f>
        <v>863948800000</v>
      </c>
      <c r="H74">
        <f t="shared" ca="1" si="8"/>
        <v>1019459584000</v>
      </c>
      <c r="I74">
        <f t="shared" ca="1" si="10"/>
        <v>7</v>
      </c>
      <c r="J74">
        <f t="shared" ca="1" si="11"/>
        <v>0.12</v>
      </c>
      <c r="K74">
        <f t="shared" ca="1" si="12"/>
        <v>-160976967930.0293</v>
      </c>
      <c r="L74" s="4">
        <f t="shared" ca="1" si="13"/>
        <v>7.7567501777045411E-2</v>
      </c>
      <c r="M74">
        <f t="shared" ca="1" si="14"/>
        <v>2.6484172696737334</v>
      </c>
      <c r="N74" t="str">
        <f t="shared" ca="1" si="15"/>
        <v>Reject</v>
      </c>
    </row>
    <row r="75" spans="1:14" x14ac:dyDescent="0.3">
      <c r="A75" t="s">
        <v>85</v>
      </c>
      <c r="B75" t="str" cm="1">
        <f t="array" ref="B75">INDEX([1]Sheet1!$A$2:$A$26, INT((ROW()-5)/10)+1)</f>
        <v>Adani Green</v>
      </c>
      <c r="C75" t="str">
        <f>VLOOKUP(B75, [1]Sheet1!$A:$B, 2, FALSE)</f>
        <v>Energy</v>
      </c>
      <c r="D75">
        <f ca="1">VLOOKUP($B75, [1]Sheet1!$A:$F, 3, FALSE) * (RANDBETWEEN(10,25)/100)</f>
        <v>1548000000000</v>
      </c>
      <c r="E75">
        <f t="shared" ca="1" si="9"/>
        <v>-1548000000000</v>
      </c>
      <c r="F75">
        <f ca="1">VLOOKUP($B75, [1]Sheet1!$A:$F, 4, FALSE) * (RANDBETWEEN(40,70)/100)</f>
        <v>1028159999999.9999</v>
      </c>
      <c r="G75">
        <f ca="1">VLOOKUP($B75, [1]Sheet1!$A:$F, 5, FALSE) * (RANDBETWEEN(60,100)/100)</f>
        <v>813279999999.99988</v>
      </c>
      <c r="H75">
        <f t="shared" ca="1" si="8"/>
        <v>870209599999.99988</v>
      </c>
      <c r="I75">
        <f t="shared" ca="1" si="10"/>
        <v>7</v>
      </c>
      <c r="J75">
        <f t="shared" ca="1" si="11"/>
        <v>0.12</v>
      </c>
      <c r="K75">
        <f t="shared" ca="1" si="12"/>
        <v>637739841472.30225</v>
      </c>
      <c r="L75" s="4">
        <f t="shared" ca="1" si="13"/>
        <v>0.35678182043695394</v>
      </c>
      <c r="M75">
        <f t="shared" ca="1" si="14"/>
        <v>1.6391894550462327</v>
      </c>
      <c r="N75" t="str">
        <f t="shared" ca="1" si="15"/>
        <v>Accept</v>
      </c>
    </row>
    <row r="76" spans="1:14" x14ac:dyDescent="0.3">
      <c r="A76" t="s">
        <v>86</v>
      </c>
      <c r="B76" t="str" cm="1">
        <f t="array" ref="B76">INDEX([1]Sheet1!$A$2:$A$26, INT((ROW()-5)/10)+1)</f>
        <v>Adani Green</v>
      </c>
      <c r="C76" t="str">
        <f>VLOOKUP(B76, [1]Sheet1!$A:$B, 2, FALSE)</f>
        <v>Energy</v>
      </c>
      <c r="D76">
        <f ca="1">VLOOKUP($B76, [1]Sheet1!$A:$F, 3, FALSE) * (RANDBETWEEN(10,25)/100)</f>
        <v>2064000000000</v>
      </c>
      <c r="E76">
        <f t="shared" ca="1" si="9"/>
        <v>-2064000000000</v>
      </c>
      <c r="F76">
        <f ca="1">VLOOKUP($B76, [1]Sheet1!$A:$F, 4, FALSE) * (RANDBETWEEN(40,70)/100)</f>
        <v>807840000000.00012</v>
      </c>
      <c r="G76">
        <f ca="1">VLOOKUP($B76, [1]Sheet1!$A:$F, 5, FALSE) * (RANDBETWEEN(60,100)/100)</f>
        <v>928095999999.99988</v>
      </c>
      <c r="H76">
        <f t="shared" ca="1" si="8"/>
        <v>1048748479999.9998</v>
      </c>
      <c r="I76">
        <f t="shared" ca="1" si="10"/>
        <v>5</v>
      </c>
      <c r="J76">
        <f t="shared" ca="1" si="11"/>
        <v>0.1</v>
      </c>
      <c r="K76">
        <f t="shared" ca="1" si="12"/>
        <v>225361743050.3374</v>
      </c>
      <c r="L76" s="4">
        <f t="shared" ca="1" si="13"/>
        <v>-1</v>
      </c>
      <c r="M76">
        <f t="shared" ca="1" si="14"/>
        <v>2.3128147561176919</v>
      </c>
      <c r="N76" t="str">
        <f t="shared" ca="1" si="15"/>
        <v>Reject</v>
      </c>
    </row>
    <row r="77" spans="1:14" x14ac:dyDescent="0.3">
      <c r="A77" t="s">
        <v>87</v>
      </c>
      <c r="B77" t="str" cm="1">
        <f t="array" ref="B77">INDEX([1]Sheet1!$A$2:$A$26, INT((ROW()-5)/10)+1)</f>
        <v>Adani Green</v>
      </c>
      <c r="C77" t="str">
        <f>VLOOKUP(B77, [1]Sheet1!$A:$B, 2, FALSE)</f>
        <v>Energy</v>
      </c>
      <c r="D77">
        <f ca="1">VLOOKUP($B77, [1]Sheet1!$A:$F, 3, FALSE) * (RANDBETWEEN(10,25)/100)</f>
        <v>2150000000000</v>
      </c>
      <c r="E77">
        <f t="shared" ca="1" si="9"/>
        <v>-2150000000000</v>
      </c>
      <c r="F77">
        <f ca="1">VLOOKUP($B77, [1]Sheet1!$A:$F, 4, FALSE) * (RANDBETWEEN(40,70)/100)</f>
        <v>822528000000.00012</v>
      </c>
      <c r="G77">
        <f ca="1">VLOOKUP($B77, [1]Sheet1!$A:$F, 5, FALSE) * (RANDBETWEEN(60,100)/100)</f>
        <v>727167999999.99988</v>
      </c>
      <c r="H77">
        <f t="shared" ca="1" si="8"/>
        <v>807156479999.99988</v>
      </c>
      <c r="I77">
        <f t="shared" ca="1" si="10"/>
        <v>7</v>
      </c>
      <c r="J77">
        <f t="shared" ca="1" si="11"/>
        <v>0.12</v>
      </c>
      <c r="K77">
        <f t="shared" ca="1" si="12"/>
        <v>-261388083090.37939</v>
      </c>
      <c r="L77" s="4">
        <f t="shared" ca="1" si="13"/>
        <v>-1</v>
      </c>
      <c r="M77">
        <f t="shared" ca="1" si="14"/>
        <v>2.7437269164957954</v>
      </c>
      <c r="N77" t="str">
        <f t="shared" ca="1" si="15"/>
        <v>Reject</v>
      </c>
    </row>
    <row r="78" spans="1:14" x14ac:dyDescent="0.3">
      <c r="A78" t="s">
        <v>88</v>
      </c>
      <c r="B78" t="str" cm="1">
        <f t="array" ref="B78">INDEX([1]Sheet1!$A$2:$A$26, INT((ROW()-5)/10)+1)</f>
        <v>Adani Green</v>
      </c>
      <c r="C78" t="str">
        <f>VLOOKUP(B78, [1]Sheet1!$A:$B, 2, FALSE)</f>
        <v>Energy</v>
      </c>
      <c r="D78">
        <f ca="1">VLOOKUP($B78, [1]Sheet1!$A:$F, 3, FALSE) * (RANDBETWEEN(10,25)/100)</f>
        <v>1720000000000</v>
      </c>
      <c r="E78">
        <f t="shared" ca="1" si="9"/>
        <v>-1720000000000</v>
      </c>
      <c r="F78">
        <f ca="1">VLOOKUP($B78, [1]Sheet1!$A:$F, 4, FALSE) * (RANDBETWEEN(40,70)/100)</f>
        <v>925344000000</v>
      </c>
      <c r="G78">
        <f ca="1">VLOOKUP($B78, [1]Sheet1!$A:$F, 5, FALSE) * (RANDBETWEEN(60,100)/100)</f>
        <v>717599999999.99988</v>
      </c>
      <c r="H78">
        <f t="shared" ca="1" si="8"/>
        <v>810887999999.99976</v>
      </c>
      <c r="I78">
        <f t="shared" ca="1" si="10"/>
        <v>7</v>
      </c>
      <c r="J78">
        <f t="shared" ca="1" si="11"/>
        <v>0.12</v>
      </c>
      <c r="K78">
        <f t="shared" ca="1" si="12"/>
        <v>255440388119.53271</v>
      </c>
      <c r="L78" s="4">
        <f t="shared" ca="1" si="13"/>
        <v>-1</v>
      </c>
      <c r="M78">
        <f t="shared" ca="1" si="14"/>
        <v>2.0950266867927509</v>
      </c>
      <c r="N78" t="str">
        <f t="shared" ca="1" si="15"/>
        <v>Reject</v>
      </c>
    </row>
    <row r="79" spans="1:14" x14ac:dyDescent="0.3">
      <c r="A79" t="s">
        <v>89</v>
      </c>
      <c r="B79" t="str" cm="1">
        <f t="array" ref="B79">INDEX([1]Sheet1!$A$2:$A$26, INT((ROW()-5)/10)+1)</f>
        <v>Adani Green</v>
      </c>
      <c r="C79" t="str">
        <f>VLOOKUP(B79, [1]Sheet1!$A:$B, 2, FALSE)</f>
        <v>Energy</v>
      </c>
      <c r="D79">
        <f ca="1">VLOOKUP($B79, [1]Sheet1!$A:$F, 3, FALSE) * (RANDBETWEEN(10,25)/100)</f>
        <v>1376000000000</v>
      </c>
      <c r="E79">
        <f t="shared" ca="1" si="9"/>
        <v>-1376000000000</v>
      </c>
      <c r="F79">
        <f ca="1">VLOOKUP($B79, [1]Sheet1!$A:$F, 4, FALSE) * (RANDBETWEEN(40,70)/100)</f>
        <v>807840000000.00012</v>
      </c>
      <c r="G79">
        <f ca="1">VLOOKUP($B79, [1]Sheet1!$A:$F, 5, FALSE) * (RANDBETWEEN(60,100)/100)</f>
        <v>813279999999.99988</v>
      </c>
      <c r="H79">
        <f t="shared" ca="1" si="8"/>
        <v>862076799999.99988</v>
      </c>
      <c r="I79">
        <f t="shared" ca="1" si="10"/>
        <v>5</v>
      </c>
      <c r="J79">
        <f t="shared" ca="1" si="11"/>
        <v>0.1</v>
      </c>
      <c r="K79">
        <f t="shared" ca="1" si="12"/>
        <v>678223290758.82764</v>
      </c>
      <c r="L79" s="4">
        <f t="shared" ca="1" si="13"/>
        <v>0.36022721372237987</v>
      </c>
      <c r="M79">
        <f t="shared" ca="1" si="14"/>
        <v>1.6986031870942355</v>
      </c>
      <c r="N79" t="str">
        <f t="shared" ca="1" si="15"/>
        <v>Accept</v>
      </c>
    </row>
    <row r="80" spans="1:14" x14ac:dyDescent="0.3">
      <c r="A80" t="s">
        <v>90</v>
      </c>
      <c r="B80" t="str" cm="1">
        <f t="array" ref="B80">INDEX([1]Sheet1!$A$2:$A$26, INT((ROW()-5)/10)+1)</f>
        <v>Adani Green</v>
      </c>
      <c r="C80" t="str">
        <f>VLOOKUP(B80, [1]Sheet1!$A:$B, 2, FALSE)</f>
        <v>Energy</v>
      </c>
      <c r="D80">
        <f ca="1">VLOOKUP($B80, [1]Sheet1!$A:$F, 3, FALSE) * (RANDBETWEEN(10,25)/100)</f>
        <v>1118000000000</v>
      </c>
      <c r="E80">
        <f t="shared" ca="1" si="9"/>
        <v>-1118000000000</v>
      </c>
      <c r="F80">
        <f ca="1">VLOOKUP($B80, [1]Sheet1!$A:$F, 4, FALSE) * (RANDBETWEEN(40,70)/100)</f>
        <v>837215999999.99988</v>
      </c>
      <c r="G80">
        <f ca="1">VLOOKUP($B80, [1]Sheet1!$A:$F, 5, FALSE) * (RANDBETWEEN(60,100)/100)</f>
        <v>755871999999.99988</v>
      </c>
      <c r="H80">
        <f t="shared" ca="1" si="8"/>
        <v>801224319999.99988</v>
      </c>
      <c r="I80">
        <f t="shared" ca="1" si="10"/>
        <v>7</v>
      </c>
      <c r="J80">
        <f t="shared" ca="1" si="11"/>
        <v>0.12</v>
      </c>
      <c r="K80">
        <f t="shared" ca="1" si="12"/>
        <v>802386461370.26172</v>
      </c>
      <c r="L80" s="4">
        <f t="shared" ca="1" si="13"/>
        <v>0.51052870519123905</v>
      </c>
      <c r="M80">
        <f t="shared" ca="1" si="14"/>
        <v>1.3714703018500489</v>
      </c>
      <c r="N80" t="str">
        <f t="shared" ca="1" si="15"/>
        <v>Accept</v>
      </c>
    </row>
    <row r="81" spans="1:14" x14ac:dyDescent="0.3">
      <c r="A81" t="s">
        <v>91</v>
      </c>
      <c r="B81" t="str" cm="1">
        <f t="array" ref="B81">INDEX([1]Sheet1!$A$2:$A$26, INT((ROW()-5)/10)+1)</f>
        <v>Adani Green</v>
      </c>
      <c r="C81" t="str">
        <f>VLOOKUP(B81, [1]Sheet1!$A:$B, 2, FALSE)</f>
        <v>Energy</v>
      </c>
      <c r="D81">
        <f ca="1">VLOOKUP($B81, [1]Sheet1!$A:$F, 3, FALSE) * (RANDBETWEEN(10,25)/100)</f>
        <v>1376000000000</v>
      </c>
      <c r="E81">
        <f t="shared" ca="1" si="9"/>
        <v>-1376000000000</v>
      </c>
      <c r="F81">
        <f ca="1">VLOOKUP($B81, [1]Sheet1!$A:$F, 4, FALSE) * (RANDBETWEEN(40,70)/100)</f>
        <v>969408000000</v>
      </c>
      <c r="G81">
        <f ca="1">VLOOKUP($B81, [1]Sheet1!$A:$F, 5, FALSE) * (RANDBETWEEN(60,100)/100)</f>
        <v>851551999999.99988</v>
      </c>
      <c r="H81">
        <f t="shared" ca="1" si="8"/>
        <v>902645119999.99988</v>
      </c>
      <c r="I81">
        <f t="shared" ca="1" si="10"/>
        <v>6</v>
      </c>
      <c r="J81">
        <f t="shared" ca="1" si="11"/>
        <v>0.1</v>
      </c>
      <c r="K81">
        <f t="shared" ca="1" si="12"/>
        <v>887212622088.65479</v>
      </c>
      <c r="L81" s="4">
        <f t="shared" ca="1" si="13"/>
        <v>0.44613116823548338</v>
      </c>
      <c r="M81">
        <f t="shared" ca="1" si="14"/>
        <v>1.4774717222201346</v>
      </c>
      <c r="N81" t="str">
        <f t="shared" ca="1" si="15"/>
        <v>Accept</v>
      </c>
    </row>
    <row r="82" spans="1:14" x14ac:dyDescent="0.3">
      <c r="A82" t="s">
        <v>92</v>
      </c>
      <c r="B82" t="str" cm="1">
        <f t="array" ref="B82">INDEX([1]Sheet1!$A$2:$A$26, INT((ROW()-5)/10)+1)</f>
        <v>Adani Green</v>
      </c>
      <c r="C82" t="str">
        <f>VLOOKUP(B82, [1]Sheet1!$A:$B, 2, FALSE)</f>
        <v>Energy</v>
      </c>
      <c r="D82">
        <f ca="1">VLOOKUP($B82, [1]Sheet1!$A:$F, 3, FALSE) * (RANDBETWEEN(10,25)/100)</f>
        <v>1978000000000</v>
      </c>
      <c r="E82">
        <f t="shared" ca="1" si="9"/>
        <v>-1978000000000</v>
      </c>
      <c r="F82">
        <f ca="1">VLOOKUP($B82, [1]Sheet1!$A:$F, 4, FALSE) * (RANDBETWEEN(40,70)/100)</f>
        <v>851904000000</v>
      </c>
      <c r="G82">
        <f ca="1">VLOOKUP($B82, [1]Sheet1!$A:$F, 5, FALSE) * (RANDBETWEEN(60,100)/100)</f>
        <v>861119999999.99988</v>
      </c>
      <c r="H82">
        <f t="shared" ca="1" si="8"/>
        <v>912787199999.99988</v>
      </c>
      <c r="I82">
        <f t="shared" ca="1" si="10"/>
        <v>6</v>
      </c>
      <c r="J82">
        <f t="shared" ca="1" si="11"/>
        <v>0.1</v>
      </c>
      <c r="K82">
        <f t="shared" ca="1" si="12"/>
        <v>193918136739.29321</v>
      </c>
      <c r="L82" s="4">
        <f t="shared" ca="1" si="13"/>
        <v>0.15424090163632154</v>
      </c>
      <c r="M82">
        <f t="shared" ca="1" si="14"/>
        <v>2.2902932907034632</v>
      </c>
      <c r="N82" t="str">
        <f t="shared" ca="1" si="15"/>
        <v>Accept</v>
      </c>
    </row>
    <row r="83" spans="1:14" x14ac:dyDescent="0.3">
      <c r="A83" t="s">
        <v>93</v>
      </c>
      <c r="B83" t="str" cm="1">
        <f t="array" ref="B83">INDEX([1]Sheet1!$A$2:$A$26, INT((ROW()-5)/10)+1)</f>
        <v>Adani Green</v>
      </c>
      <c r="C83" t="str">
        <f>VLOOKUP(B83, [1]Sheet1!$A:$B, 2, FALSE)</f>
        <v>Energy</v>
      </c>
      <c r="D83">
        <f ca="1">VLOOKUP($B83, [1]Sheet1!$A:$F, 3, FALSE) * (RANDBETWEEN(10,25)/100)</f>
        <v>1032000000000</v>
      </c>
      <c r="E83">
        <f t="shared" ca="1" si="9"/>
        <v>-1032000000000</v>
      </c>
      <c r="F83">
        <f ca="1">VLOOKUP($B83, [1]Sheet1!$A:$F, 4, FALSE) * (RANDBETWEEN(40,70)/100)</f>
        <v>910656000000</v>
      </c>
      <c r="G83">
        <f ca="1">VLOOKUP($B83, [1]Sheet1!$A:$F, 5, FALSE) * (RANDBETWEEN(60,100)/100)</f>
        <v>669759999999.99988</v>
      </c>
      <c r="H83">
        <f t="shared" ca="1" si="8"/>
        <v>730038399999.99988</v>
      </c>
      <c r="I83">
        <f t="shared" ca="1" si="10"/>
        <v>5</v>
      </c>
      <c r="J83">
        <f t="shared" ca="1" si="11"/>
        <v>0.1</v>
      </c>
      <c r="K83">
        <f t="shared" ca="1" si="12"/>
        <v>897878407212.62158</v>
      </c>
      <c r="L83" s="4">
        <f t="shared" ca="1" si="13"/>
        <v>0.57786501268226909</v>
      </c>
      <c r="M83">
        <f t="shared" ca="1" si="14"/>
        <v>1.1811753463927377</v>
      </c>
      <c r="N83" t="str">
        <f t="shared" ca="1" si="15"/>
        <v>Accept</v>
      </c>
    </row>
    <row r="84" spans="1:14" x14ac:dyDescent="0.3">
      <c r="A84" t="s">
        <v>94</v>
      </c>
      <c r="B84" t="str" cm="1">
        <f t="array" ref="B84">INDEX([1]Sheet1!$A$2:$A$26, INT((ROW()-5)/10)+1)</f>
        <v>Adani Green</v>
      </c>
      <c r="C84" t="str">
        <f>VLOOKUP(B84, [1]Sheet1!$A:$B, 2, FALSE)</f>
        <v>Energy</v>
      </c>
      <c r="D84">
        <f ca="1">VLOOKUP($B84, [1]Sheet1!$A:$F, 3, FALSE) * (RANDBETWEEN(10,25)/100)</f>
        <v>1462000000000</v>
      </c>
      <c r="E84">
        <f t="shared" ca="1" si="9"/>
        <v>-1462000000000</v>
      </c>
      <c r="F84">
        <f ca="1">VLOOKUP($B84, [1]Sheet1!$A:$F, 4, FALSE) * (RANDBETWEEN(40,70)/100)</f>
        <v>822528000000.00012</v>
      </c>
      <c r="G84">
        <f ca="1">VLOOKUP($B84, [1]Sheet1!$A:$F, 5, FALSE) * (RANDBETWEEN(60,100)/100)</f>
        <v>880255999999.99988</v>
      </c>
      <c r="H84">
        <f t="shared" ca="1" si="8"/>
        <v>1021096959999.9998</v>
      </c>
      <c r="I84">
        <f t="shared" ca="1" si="10"/>
        <v>5</v>
      </c>
      <c r="J84">
        <f t="shared" ca="1" si="11"/>
        <v>0.1</v>
      </c>
      <c r="K84">
        <f t="shared" ca="1" si="12"/>
        <v>780402283996.99414</v>
      </c>
      <c r="L84" s="4">
        <f t="shared" ca="1" si="13"/>
        <v>0.37225691173164366</v>
      </c>
      <c r="M84">
        <f t="shared" ca="1" si="14"/>
        <v>1.7264613930492947</v>
      </c>
      <c r="N84" t="str">
        <f t="shared" ca="1" si="15"/>
        <v>Accept</v>
      </c>
    </row>
    <row r="85" spans="1:14" x14ac:dyDescent="0.3">
      <c r="A85" t="s">
        <v>95</v>
      </c>
      <c r="B85" t="str" cm="1">
        <f t="array" ref="B85">INDEX([1]Sheet1!$A$2:$A$26, INT((ROW()-5)/10)+1)</f>
        <v>NTPC</v>
      </c>
      <c r="C85" t="str">
        <f>VLOOKUP(B85, [1]Sheet1!$A:$B, 2, FALSE)</f>
        <v>Energy</v>
      </c>
      <c r="D85">
        <f ca="1">VLOOKUP($B85, [1]Sheet1!$A:$F, 3, FALSE) * (RANDBETWEEN(10,25)/100)</f>
        <v>1744000000000</v>
      </c>
      <c r="E85">
        <f t="shared" ca="1" si="9"/>
        <v>-1744000000000</v>
      </c>
      <c r="F85">
        <f ca="1">VLOOKUP($B85, [1]Sheet1!$A:$F, 4, FALSE) * (RANDBETWEEN(40,70)/100)</f>
        <v>895478400000</v>
      </c>
      <c r="G85">
        <f ca="1">VLOOKUP($B85, [1]Sheet1!$A:$F, 5, FALSE) * (RANDBETWEEN(60,100)/100)</f>
        <v>774592000000</v>
      </c>
      <c r="H85">
        <f t="shared" ca="1" si="8"/>
        <v>836559360000</v>
      </c>
      <c r="I85">
        <f t="shared" ca="1" si="10"/>
        <v>8</v>
      </c>
      <c r="J85">
        <f t="shared" ca="1" si="11"/>
        <v>0.12</v>
      </c>
      <c r="K85">
        <f t="shared" ca="1" si="12"/>
        <v>268480714285.71387</v>
      </c>
      <c r="L85" s="4">
        <f t="shared" ca="1" si="13"/>
        <v>-1</v>
      </c>
      <c r="M85">
        <f t="shared" ca="1" si="14"/>
        <v>2.0883734060425789</v>
      </c>
      <c r="N85" t="str">
        <f t="shared" ca="1" si="15"/>
        <v>Reject</v>
      </c>
    </row>
    <row r="86" spans="1:14" x14ac:dyDescent="0.3">
      <c r="A86" t="s">
        <v>96</v>
      </c>
      <c r="B86" t="str" cm="1">
        <f t="array" ref="B86">INDEX([1]Sheet1!$A$2:$A$26, INT((ROW()-5)/10)+1)</f>
        <v>NTPC</v>
      </c>
      <c r="C86" t="str">
        <f>VLOOKUP(B86, [1]Sheet1!$A:$B, 2, FALSE)</f>
        <v>Energy</v>
      </c>
      <c r="D86">
        <f ca="1">VLOOKUP($B86, [1]Sheet1!$A:$F, 3, FALSE) * (RANDBETWEEN(10,25)/100)</f>
        <v>1526000000000.0002</v>
      </c>
      <c r="E86">
        <f t="shared" ca="1" si="9"/>
        <v>-1526000000000.0002</v>
      </c>
      <c r="F86">
        <f ca="1">VLOOKUP($B86, [1]Sheet1!$A:$F, 4, FALSE) * (RANDBETWEEN(40,70)/100)</f>
        <v>837705600000</v>
      </c>
      <c r="G86">
        <f ca="1">VLOOKUP($B86, [1]Sheet1!$A:$F, 5, FALSE) * (RANDBETWEEN(60,100)/100)</f>
        <v>717516800000</v>
      </c>
      <c r="H86">
        <f t="shared" ca="1" si="8"/>
        <v>861020160000</v>
      </c>
      <c r="I86">
        <f t="shared" ca="1" si="10"/>
        <v>5</v>
      </c>
      <c r="J86">
        <f t="shared" ca="1" si="11"/>
        <v>0.1</v>
      </c>
      <c r="K86">
        <f t="shared" ca="1" si="12"/>
        <v>475436826446.28052</v>
      </c>
      <c r="L86" s="4">
        <f t="shared" ca="1" si="13"/>
        <v>-1</v>
      </c>
      <c r="M86">
        <f t="shared" ca="1" si="14"/>
        <v>1.959272869987156</v>
      </c>
      <c r="N86" t="str">
        <f t="shared" ca="1" si="15"/>
        <v>Reject</v>
      </c>
    </row>
    <row r="87" spans="1:14" x14ac:dyDescent="0.3">
      <c r="A87" t="s">
        <v>97</v>
      </c>
      <c r="B87" t="str" cm="1">
        <f t="array" ref="B87">INDEX([1]Sheet1!$A$2:$A$26, INT((ROW()-5)/10)+1)</f>
        <v>NTPC</v>
      </c>
      <c r="C87" t="str">
        <f>VLOOKUP(B87, [1]Sheet1!$A:$B, 2, FALSE)</f>
        <v>Energy</v>
      </c>
      <c r="D87">
        <f ca="1">VLOOKUP($B87, [1]Sheet1!$A:$F, 3, FALSE) * (RANDBETWEEN(10,25)/100)</f>
        <v>1962000000000</v>
      </c>
      <c r="E87">
        <f t="shared" ca="1" si="9"/>
        <v>-1962000000000</v>
      </c>
      <c r="F87">
        <f ca="1">VLOOKUP($B87, [1]Sheet1!$A:$F, 4, FALSE) * (RANDBETWEEN(40,70)/100)</f>
        <v>751046400000</v>
      </c>
      <c r="G87">
        <f ca="1">VLOOKUP($B87, [1]Sheet1!$A:$F, 5, FALSE) * (RANDBETWEEN(60,100)/100)</f>
        <v>790899200000</v>
      </c>
      <c r="H87">
        <f t="shared" ca="1" si="8"/>
        <v>925352064000</v>
      </c>
      <c r="I87">
        <f t="shared" ca="1" si="10"/>
        <v>7</v>
      </c>
      <c r="J87">
        <f t="shared" ca="1" si="11"/>
        <v>0.12</v>
      </c>
      <c r="K87">
        <f t="shared" ca="1" si="12"/>
        <v>-2275535714.2861328</v>
      </c>
      <c r="L87" s="4">
        <f t="shared" ca="1" si="13"/>
        <v>-1</v>
      </c>
      <c r="M87">
        <f t="shared" ca="1" si="14"/>
        <v>2.453940090849573</v>
      </c>
      <c r="N87" t="str">
        <f t="shared" ca="1" si="15"/>
        <v>Reject</v>
      </c>
    </row>
    <row r="88" spans="1:14" x14ac:dyDescent="0.3">
      <c r="A88" t="s">
        <v>98</v>
      </c>
      <c r="B88" t="str" cm="1">
        <f t="array" ref="B88">INDEX([1]Sheet1!$A$2:$A$26, INT((ROW()-5)/10)+1)</f>
        <v>NTPC</v>
      </c>
      <c r="C88" t="str">
        <f>VLOOKUP(B88, [1]Sheet1!$A:$B, 2, FALSE)</f>
        <v>Energy</v>
      </c>
      <c r="D88">
        <f ca="1">VLOOKUP($B88, [1]Sheet1!$A:$F, 3, FALSE) * (RANDBETWEEN(10,25)/100)</f>
        <v>2616000000000</v>
      </c>
      <c r="E88">
        <f t="shared" ca="1" si="9"/>
        <v>-2616000000000</v>
      </c>
      <c r="F88">
        <f ca="1">VLOOKUP($B88, [1]Sheet1!$A:$F, 4, FALSE) * (RANDBETWEEN(40,70)/100)</f>
        <v>736603200000</v>
      </c>
      <c r="G88">
        <f ca="1">VLOOKUP($B88, [1]Sheet1!$A:$F, 5, FALSE) * (RANDBETWEEN(60,100)/100)</f>
        <v>733824000000</v>
      </c>
      <c r="H88">
        <f t="shared" ca="1" si="8"/>
        <v>814544640000.00012</v>
      </c>
      <c r="I88">
        <f t="shared" ca="1" si="10"/>
        <v>8</v>
      </c>
      <c r="J88">
        <f t="shared" ca="1" si="11"/>
        <v>0.12</v>
      </c>
      <c r="K88">
        <f t="shared" ca="1" si="12"/>
        <v>-793541785714.28613</v>
      </c>
      <c r="L88" s="4">
        <f t="shared" ca="1" si="13"/>
        <v>-1</v>
      </c>
      <c r="M88" t="str">
        <f t="shared" ca="1" si="14"/>
        <v>&gt;3</v>
      </c>
      <c r="N88" t="str">
        <f t="shared" ca="1" si="15"/>
        <v>Reject</v>
      </c>
    </row>
    <row r="89" spans="1:14" x14ac:dyDescent="0.3">
      <c r="A89" t="s">
        <v>99</v>
      </c>
      <c r="B89" t="str" cm="1">
        <f t="array" ref="B89">INDEX([1]Sheet1!$A$2:$A$26, INT((ROW()-5)/10)+1)</f>
        <v>NTPC</v>
      </c>
      <c r="C89" t="str">
        <f>VLOOKUP(B89, [1]Sheet1!$A:$B, 2, FALSE)</f>
        <v>Energy</v>
      </c>
      <c r="D89">
        <f ca="1">VLOOKUP($B89, [1]Sheet1!$A:$F, 3, FALSE) * (RANDBETWEEN(10,25)/100)</f>
        <v>2071000000000</v>
      </c>
      <c r="E89">
        <f t="shared" ca="1" si="9"/>
        <v>-2071000000000</v>
      </c>
      <c r="F89">
        <f ca="1">VLOOKUP($B89, [1]Sheet1!$A:$F, 4, FALSE) * (RANDBETWEEN(40,70)/100)</f>
        <v>765489600000</v>
      </c>
      <c r="G89">
        <f ca="1">VLOOKUP($B89, [1]Sheet1!$A:$F, 5, FALSE) * (RANDBETWEEN(60,100)/100)</f>
        <v>774592000000</v>
      </c>
      <c r="H89">
        <f t="shared" ca="1" si="8"/>
        <v>844305280000.00012</v>
      </c>
      <c r="I89">
        <f t="shared" ca="1" si="10"/>
        <v>5</v>
      </c>
      <c r="J89">
        <f t="shared" ca="1" si="11"/>
        <v>0.1</v>
      </c>
      <c r="K89">
        <f t="shared" ca="1" si="12"/>
        <v>-100602632607.0625</v>
      </c>
      <c r="L89" s="4">
        <f t="shared" ca="1" si="13"/>
        <v>-1</v>
      </c>
      <c r="M89">
        <f t="shared" ca="1" si="14"/>
        <v>2.6288227878901811</v>
      </c>
      <c r="N89" t="str">
        <f t="shared" ca="1" si="15"/>
        <v>Reject</v>
      </c>
    </row>
    <row r="90" spans="1:14" x14ac:dyDescent="0.3">
      <c r="A90" t="s">
        <v>100</v>
      </c>
      <c r="B90" t="str" cm="1">
        <f t="array" ref="B90">INDEX([1]Sheet1!$A$2:$A$26, INT((ROW()-5)/10)+1)</f>
        <v>NTPC</v>
      </c>
      <c r="C90" t="str">
        <f>VLOOKUP(B90, [1]Sheet1!$A:$B, 2, FALSE)</f>
        <v>Energy</v>
      </c>
      <c r="D90">
        <f ca="1">VLOOKUP($B90, [1]Sheet1!$A:$F, 3, FALSE) * (RANDBETWEEN(10,25)/100)</f>
        <v>1962000000000</v>
      </c>
      <c r="E90">
        <f t="shared" ca="1" si="9"/>
        <v>-1962000000000</v>
      </c>
      <c r="F90">
        <f ca="1">VLOOKUP($B90, [1]Sheet1!$A:$F, 4, FALSE) * (RANDBETWEEN(40,70)/100)</f>
        <v>664387200000</v>
      </c>
      <c r="G90">
        <f ca="1">VLOOKUP($B90, [1]Sheet1!$A:$F, 5, FALSE) * (RANDBETWEEN(60,100)/100)</f>
        <v>627827200000</v>
      </c>
      <c r="H90">
        <f t="shared" ca="1" si="8"/>
        <v>740836096000</v>
      </c>
      <c r="I90">
        <f t="shared" ca="1" si="10"/>
        <v>6</v>
      </c>
      <c r="J90">
        <f t="shared" ca="1" si="11"/>
        <v>0.1</v>
      </c>
      <c r="K90">
        <f t="shared" ca="1" si="12"/>
        <v>-282545057851.23975</v>
      </c>
      <c r="L90" s="4">
        <f t="shared" ca="1" si="13"/>
        <v>-1</v>
      </c>
      <c r="M90">
        <f t="shared" ca="1" si="14"/>
        <v>2.9040941763183201</v>
      </c>
      <c r="N90" t="str">
        <f t="shared" ca="1" si="15"/>
        <v>Reject</v>
      </c>
    </row>
    <row r="91" spans="1:14" x14ac:dyDescent="0.3">
      <c r="A91" t="s">
        <v>101</v>
      </c>
      <c r="B91" t="str" cm="1">
        <f t="array" ref="B91">INDEX([1]Sheet1!$A$2:$A$26, INT((ROW()-5)/10)+1)</f>
        <v>NTPC</v>
      </c>
      <c r="C91" t="str">
        <f>VLOOKUP(B91, [1]Sheet1!$A:$B, 2, FALSE)</f>
        <v>Energy</v>
      </c>
      <c r="D91">
        <f ca="1">VLOOKUP($B91, [1]Sheet1!$A:$F, 3, FALSE) * (RANDBETWEEN(10,25)/100)</f>
        <v>1308000000000</v>
      </c>
      <c r="E91">
        <f t="shared" ca="1" si="9"/>
        <v>-1308000000000</v>
      </c>
      <c r="F91">
        <f ca="1">VLOOKUP($B91, [1]Sheet1!$A:$F, 4, FALSE) * (RANDBETWEEN(40,70)/100)</f>
        <v>621057600000</v>
      </c>
      <c r="G91">
        <f ca="1">VLOOKUP($B91, [1]Sheet1!$A:$F, 5, FALSE) * (RANDBETWEEN(60,100)/100)</f>
        <v>684902400000</v>
      </c>
      <c r="H91">
        <f t="shared" ca="1" si="8"/>
        <v>787637760000</v>
      </c>
      <c r="I91">
        <f t="shared" ca="1" si="10"/>
        <v>8</v>
      </c>
      <c r="J91">
        <f t="shared" ca="1" si="11"/>
        <v>0.12</v>
      </c>
      <c r="K91">
        <f t="shared" ca="1" si="12"/>
        <v>353140714285.71387</v>
      </c>
      <c r="L91" s="4">
        <f t="shared" ca="1" si="13"/>
        <v>0.26502657186420375</v>
      </c>
      <c r="M91">
        <f t="shared" ca="1" si="14"/>
        <v>2.0025900231091005</v>
      </c>
      <c r="N91" t="str">
        <f t="shared" ca="1" si="15"/>
        <v>Accept</v>
      </c>
    </row>
    <row r="92" spans="1:14" x14ac:dyDescent="0.3">
      <c r="A92" t="s">
        <v>102</v>
      </c>
      <c r="B92" t="str" cm="1">
        <f t="array" ref="B92">INDEX([1]Sheet1!$A$2:$A$26, INT((ROW()-5)/10)+1)</f>
        <v>NTPC</v>
      </c>
      <c r="C92" t="str">
        <f>VLOOKUP(B92, [1]Sheet1!$A:$B, 2, FALSE)</f>
        <v>Energy</v>
      </c>
      <c r="D92">
        <f ca="1">VLOOKUP($B92, [1]Sheet1!$A:$F, 3, FALSE) * (RANDBETWEEN(10,25)/100)</f>
        <v>1526000000000.0002</v>
      </c>
      <c r="E92">
        <f t="shared" ca="1" si="9"/>
        <v>-1526000000000.0002</v>
      </c>
      <c r="F92">
        <f ca="1">VLOOKUP($B92, [1]Sheet1!$A:$F, 4, FALSE) * (RANDBETWEEN(40,70)/100)</f>
        <v>779932800000</v>
      </c>
      <c r="G92">
        <f ca="1">VLOOKUP($B92, [1]Sheet1!$A:$F, 5, FALSE) * (RANDBETWEEN(60,100)/100)</f>
        <v>611520000000</v>
      </c>
      <c r="H92">
        <f t="shared" ca="1" si="8"/>
        <v>727708800000</v>
      </c>
      <c r="I92">
        <f t="shared" ca="1" si="10"/>
        <v>7</v>
      </c>
      <c r="J92">
        <f t="shared" ca="1" si="11"/>
        <v>0.12</v>
      </c>
      <c r="K92">
        <f t="shared" ca="1" si="12"/>
        <v>175837321428.57104</v>
      </c>
      <c r="L92" s="4">
        <f t="shared" ca="1" si="13"/>
        <v>-1</v>
      </c>
      <c r="M92">
        <f t="shared" ca="1" si="14"/>
        <v>2.1848915390331962</v>
      </c>
      <c r="N92" t="str">
        <f t="shared" ca="1" si="15"/>
        <v>Reject</v>
      </c>
    </row>
    <row r="93" spans="1:14" x14ac:dyDescent="0.3">
      <c r="A93" t="s">
        <v>103</v>
      </c>
      <c r="B93" t="str" cm="1">
        <f t="array" ref="B93">INDEX([1]Sheet1!$A$2:$A$26, INT((ROW()-5)/10)+1)</f>
        <v>NTPC</v>
      </c>
      <c r="C93" t="str">
        <f>VLOOKUP(B93, [1]Sheet1!$A:$B, 2, FALSE)</f>
        <v>Energy</v>
      </c>
      <c r="D93">
        <f ca="1">VLOOKUP($B93, [1]Sheet1!$A:$F, 3, FALSE) * (RANDBETWEEN(10,25)/100)</f>
        <v>1962000000000</v>
      </c>
      <c r="E93">
        <f t="shared" ca="1" si="9"/>
        <v>-1962000000000</v>
      </c>
      <c r="F93">
        <f ca="1">VLOOKUP($B93, [1]Sheet1!$A:$F, 4, FALSE) * (RANDBETWEEN(40,70)/100)</f>
        <v>577728000000</v>
      </c>
      <c r="G93">
        <f ca="1">VLOOKUP($B93, [1]Sheet1!$A:$F, 5, FALSE) * (RANDBETWEEN(60,100)/100)</f>
        <v>529984000000</v>
      </c>
      <c r="H93">
        <f t="shared" ca="1" si="8"/>
        <v>635980800000</v>
      </c>
      <c r="I93">
        <f t="shared" ca="1" si="10"/>
        <v>6</v>
      </c>
      <c r="J93">
        <f t="shared" ca="1" si="11"/>
        <v>0.1</v>
      </c>
      <c r="K93">
        <f t="shared" ca="1" si="12"/>
        <v>-520967633358.37744</v>
      </c>
      <c r="L93" s="4">
        <f t="shared" ca="1" si="13"/>
        <v>-1</v>
      </c>
      <c r="M93" t="str">
        <f t="shared" ca="1" si="14"/>
        <v>&gt;3</v>
      </c>
      <c r="N93" t="str">
        <f t="shared" ca="1" si="15"/>
        <v>Reject</v>
      </c>
    </row>
    <row r="94" spans="1:14" x14ac:dyDescent="0.3">
      <c r="A94" t="s">
        <v>104</v>
      </c>
      <c r="B94" t="str" cm="1">
        <f t="array" ref="B94">INDEX([1]Sheet1!$A$2:$A$26, INT((ROW()-5)/10)+1)</f>
        <v>NTPC</v>
      </c>
      <c r="C94" t="str">
        <f>VLOOKUP(B94, [1]Sheet1!$A:$B, 2, FALSE)</f>
        <v>Energy</v>
      </c>
      <c r="D94">
        <f ca="1">VLOOKUP($B94, [1]Sheet1!$A:$F, 3, FALSE) * (RANDBETWEEN(10,25)/100)</f>
        <v>2398000000000</v>
      </c>
      <c r="E94">
        <f t="shared" ca="1" si="9"/>
        <v>-2398000000000</v>
      </c>
      <c r="F94">
        <f ca="1">VLOOKUP($B94, [1]Sheet1!$A:$F, 4, FALSE) * (RANDBETWEEN(40,70)/100)</f>
        <v>606614400000</v>
      </c>
      <c r="G94">
        <f ca="1">VLOOKUP($B94, [1]Sheet1!$A:$F, 5, FALSE) * (RANDBETWEEN(60,100)/100)</f>
        <v>693056000000</v>
      </c>
      <c r="H94">
        <f t="shared" ca="1" si="8"/>
        <v>741569920000</v>
      </c>
      <c r="I94">
        <f t="shared" ca="1" si="10"/>
        <v>8</v>
      </c>
      <c r="J94">
        <f t="shared" ca="1" si="11"/>
        <v>0.12</v>
      </c>
      <c r="K94">
        <f t="shared" ca="1" si="12"/>
        <v>-776045178571.42896</v>
      </c>
      <c r="L94" s="4">
        <f t="shared" ca="1" si="13"/>
        <v>-1</v>
      </c>
      <c r="M94" t="str">
        <f t="shared" ca="1" si="14"/>
        <v>&gt;3</v>
      </c>
      <c r="N94" t="str">
        <f t="shared" ca="1" si="15"/>
        <v>Reject</v>
      </c>
    </row>
    <row r="95" spans="1:14" x14ac:dyDescent="0.3">
      <c r="A95" t="s">
        <v>105</v>
      </c>
      <c r="B95" t="str" cm="1">
        <f t="array" ref="B95">INDEX([1]Sheet1!$A$2:$A$26, INT((ROW()-5)/10)+1)</f>
        <v>Tata Power</v>
      </c>
      <c r="C95" t="str">
        <f>VLOOKUP(B95, [1]Sheet1!$A:$B, 2, FALSE)</f>
        <v>Energy</v>
      </c>
      <c r="D95">
        <f ca="1">VLOOKUP($B95, [1]Sheet1!$A:$F, 3, FALSE) * (RANDBETWEEN(10,25)/100)</f>
        <v>1615000000000</v>
      </c>
      <c r="E95">
        <f t="shared" ca="1" si="9"/>
        <v>-1615000000000</v>
      </c>
      <c r="F95">
        <f ca="1">VLOOKUP($B95, [1]Sheet1!$A:$F, 4, FALSE) * (RANDBETWEEN(40,70)/100)</f>
        <v>666468000000</v>
      </c>
      <c r="G95">
        <f ca="1">VLOOKUP($B95, [1]Sheet1!$A:$F, 5, FALSE) * (RANDBETWEEN(60,100)/100)</f>
        <v>603532800000</v>
      </c>
      <c r="H95">
        <f t="shared" ca="1" si="8"/>
        <v>669921408000</v>
      </c>
      <c r="I95">
        <f t="shared" ca="1" si="10"/>
        <v>8</v>
      </c>
      <c r="J95">
        <f t="shared" ca="1" si="11"/>
        <v>0.12</v>
      </c>
      <c r="K95">
        <f t="shared" ca="1" si="12"/>
        <v>-61969806851.312012</v>
      </c>
      <c r="L95" s="4">
        <f t="shared" ca="1" si="13"/>
        <v>9.753219700094018E-2</v>
      </c>
      <c r="M95">
        <f t="shared" ca="1" si="14"/>
        <v>2.5149845875652326</v>
      </c>
      <c r="N95" t="str">
        <f t="shared" ca="1" si="15"/>
        <v>Reject</v>
      </c>
    </row>
    <row r="96" spans="1:14" x14ac:dyDescent="0.3">
      <c r="A96" t="s">
        <v>106</v>
      </c>
      <c r="B96" t="str" cm="1">
        <f t="array" ref="B96">INDEX([1]Sheet1!$A$2:$A$26, INT((ROW()-5)/10)+1)</f>
        <v>Tata Power</v>
      </c>
      <c r="C96" t="str">
        <f>VLOOKUP(B96, [1]Sheet1!$A:$B, 2, FALSE)</f>
        <v>Energy</v>
      </c>
      <c r="D96">
        <f ca="1">VLOOKUP($B96, [1]Sheet1!$A:$F, 3, FALSE) * (RANDBETWEEN(10,25)/100)</f>
        <v>1275000000000</v>
      </c>
      <c r="E96">
        <f t="shared" ca="1" si="9"/>
        <v>-1275000000000</v>
      </c>
      <c r="F96">
        <f ca="1">VLOOKUP($B96, [1]Sheet1!$A:$F, 4, FALSE) * (RANDBETWEEN(40,70)/100)</f>
        <v>739173600000</v>
      </c>
      <c r="G96">
        <f ca="1">VLOOKUP($B96, [1]Sheet1!$A:$F, 5, FALSE) * (RANDBETWEEN(60,100)/100)</f>
        <v>924768000000</v>
      </c>
      <c r="H96">
        <f t="shared" ca="1" si="8"/>
        <v>1081978559999.9999</v>
      </c>
      <c r="I96">
        <f t="shared" ca="1" si="10"/>
        <v>7</v>
      </c>
      <c r="J96">
        <f t="shared" ca="1" si="11"/>
        <v>0.12</v>
      </c>
      <c r="K96">
        <f t="shared" ca="1" si="12"/>
        <v>892326783892.12769</v>
      </c>
      <c r="L96" s="4">
        <f t="shared" ca="1" si="13"/>
        <v>0.46778947011047256</v>
      </c>
      <c r="M96">
        <f t="shared" ca="1" si="14"/>
        <v>1.5794171078584034</v>
      </c>
      <c r="N96" t="str">
        <f t="shared" ca="1" si="15"/>
        <v>Accept</v>
      </c>
    </row>
    <row r="97" spans="1:14" x14ac:dyDescent="0.3">
      <c r="A97" t="s">
        <v>107</v>
      </c>
      <c r="B97" t="str" cm="1">
        <f t="array" ref="B97">INDEX([1]Sheet1!$A$2:$A$26, INT((ROW()-5)/10)+1)</f>
        <v>Tata Power</v>
      </c>
      <c r="C97" t="str">
        <f>VLOOKUP(B97, [1]Sheet1!$A:$B, 2, FALSE)</f>
        <v>Energy</v>
      </c>
      <c r="D97">
        <f ca="1">VLOOKUP($B97, [1]Sheet1!$A:$F, 3, FALSE) * (RANDBETWEEN(10,25)/100)</f>
        <v>1870000000000</v>
      </c>
      <c r="E97">
        <f t="shared" ca="1" si="9"/>
        <v>-1870000000000</v>
      </c>
      <c r="F97">
        <f ca="1">VLOOKUP($B97, [1]Sheet1!$A:$F, 4, FALSE) * (RANDBETWEEN(40,70)/100)</f>
        <v>714938400000</v>
      </c>
      <c r="G97">
        <f ca="1">VLOOKUP($B97, [1]Sheet1!$A:$F, 5, FALSE) * (RANDBETWEEN(60,100)/100)</f>
        <v>876096000000</v>
      </c>
      <c r="H97">
        <f t="shared" ca="1" si="8"/>
        <v>972466560000.00012</v>
      </c>
      <c r="I97">
        <f t="shared" ca="1" si="10"/>
        <v>6</v>
      </c>
      <c r="J97">
        <f t="shared" ca="1" si="11"/>
        <v>0.1</v>
      </c>
      <c r="K97">
        <f t="shared" ca="1" si="12"/>
        <v>234618800901.57739</v>
      </c>
      <c r="L97" s="4">
        <f t="shared" ca="1" si="13"/>
        <v>-1</v>
      </c>
      <c r="M97">
        <f t="shared" ca="1" si="14"/>
        <v>2.2868639513938658</v>
      </c>
      <c r="N97" t="str">
        <f t="shared" ca="1" si="15"/>
        <v>Reject</v>
      </c>
    </row>
    <row r="98" spans="1:14" x14ac:dyDescent="0.3">
      <c r="A98" t="s">
        <v>108</v>
      </c>
      <c r="B98" t="str" cm="1">
        <f t="array" ref="B98">INDEX([1]Sheet1!$A$2:$A$26, INT((ROW()-5)/10)+1)</f>
        <v>Tata Power</v>
      </c>
      <c r="C98" t="str">
        <f>VLOOKUP(B98, [1]Sheet1!$A:$B, 2, FALSE)</f>
        <v>Energy</v>
      </c>
      <c r="D98">
        <f ca="1">VLOOKUP($B98, [1]Sheet1!$A:$F, 3, FALSE) * (RANDBETWEEN(10,25)/100)</f>
        <v>1530000000000</v>
      </c>
      <c r="E98">
        <f t="shared" ca="1" si="9"/>
        <v>-1530000000000</v>
      </c>
      <c r="F98">
        <f ca="1">VLOOKUP($B98, [1]Sheet1!$A:$F, 4, FALSE) * (RANDBETWEEN(40,70)/100)</f>
        <v>690703200000</v>
      </c>
      <c r="G98">
        <f ca="1">VLOOKUP($B98, [1]Sheet1!$A:$F, 5, FALSE) * (RANDBETWEEN(60,100)/100)</f>
        <v>681408000000</v>
      </c>
      <c r="H98">
        <f t="shared" ca="1" si="8"/>
        <v>769991039999.99988</v>
      </c>
      <c r="I98">
        <f t="shared" ca="1" si="10"/>
        <v>5</v>
      </c>
      <c r="J98">
        <f t="shared" ca="1" si="11"/>
        <v>0.1</v>
      </c>
      <c r="K98">
        <f t="shared" ca="1" si="12"/>
        <v>239564772351.61523</v>
      </c>
      <c r="L98" s="4">
        <f t="shared" ca="1" si="13"/>
        <v>0.18534686384731813</v>
      </c>
      <c r="M98">
        <f t="shared" ca="1" si="14"/>
        <v>2.2050527756790519</v>
      </c>
      <c r="N98" t="str">
        <f t="shared" ca="1" si="15"/>
        <v>Accept</v>
      </c>
    </row>
    <row r="99" spans="1:14" x14ac:dyDescent="0.3">
      <c r="A99" t="s">
        <v>109</v>
      </c>
      <c r="B99" t="str" cm="1">
        <f t="array" ref="B99">INDEX([1]Sheet1!$A$2:$A$26, INT((ROW()-5)/10)+1)</f>
        <v>Tata Power</v>
      </c>
      <c r="C99" t="str">
        <f>VLOOKUP(B99, [1]Sheet1!$A:$B, 2, FALSE)</f>
        <v>Energy</v>
      </c>
      <c r="D99">
        <f ca="1">VLOOKUP($B99, [1]Sheet1!$A:$F, 3, FALSE) * (RANDBETWEEN(10,25)/100)</f>
        <v>1615000000000</v>
      </c>
      <c r="E99">
        <f t="shared" ca="1" si="9"/>
        <v>-1615000000000</v>
      </c>
      <c r="F99">
        <f ca="1">VLOOKUP($B99, [1]Sheet1!$A:$F, 4, FALSE) * (RANDBETWEEN(40,70)/100)</f>
        <v>727056000000</v>
      </c>
      <c r="G99">
        <f ca="1">VLOOKUP($B99, [1]Sheet1!$A:$F, 5, FALSE) * (RANDBETWEEN(60,100)/100)</f>
        <v>691142400000</v>
      </c>
      <c r="H99">
        <f t="shared" ca="1" si="8"/>
        <v>774079488000.00012</v>
      </c>
      <c r="I99">
        <f t="shared" ca="1" si="10"/>
        <v>5</v>
      </c>
      <c r="J99">
        <f t="shared" ca="1" si="11"/>
        <v>0.1</v>
      </c>
      <c r="K99">
        <f t="shared" ca="1" si="12"/>
        <v>198729442524.41748</v>
      </c>
      <c r="L99" s="4">
        <f t="shared" ca="1" si="13"/>
        <v>-1</v>
      </c>
      <c r="M99">
        <f t="shared" ca="1" si="14"/>
        <v>2.2542395232671506</v>
      </c>
      <c r="N99" t="str">
        <f t="shared" ca="1" si="15"/>
        <v>Reject</v>
      </c>
    </row>
    <row r="100" spans="1:14" x14ac:dyDescent="0.3">
      <c r="A100" t="s">
        <v>110</v>
      </c>
      <c r="B100" t="str" cm="1">
        <f t="array" ref="B100">INDEX([1]Sheet1!$A$2:$A$26, INT((ROW()-5)/10)+1)</f>
        <v>Tata Power</v>
      </c>
      <c r="C100" t="str">
        <f>VLOOKUP(B100, [1]Sheet1!$A:$B, 2, FALSE)</f>
        <v>Energy</v>
      </c>
      <c r="D100">
        <f ca="1">VLOOKUP($B100, [1]Sheet1!$A:$F, 3, FALSE) * (RANDBETWEEN(10,25)/100)</f>
        <v>2125000000000</v>
      </c>
      <c r="E100">
        <f t="shared" ca="1" si="9"/>
        <v>-2125000000000</v>
      </c>
      <c r="F100">
        <f ca="1">VLOOKUP($B100, [1]Sheet1!$A:$F, 4, FALSE) * (RANDBETWEEN(40,70)/100)</f>
        <v>811879200000</v>
      </c>
      <c r="G100">
        <f ca="1">VLOOKUP($B100, [1]Sheet1!$A:$F, 5, FALSE) * (RANDBETWEEN(60,100)/100)</f>
        <v>885830400000</v>
      </c>
      <c r="H100">
        <f t="shared" ca="1" si="8"/>
        <v>947838528000</v>
      </c>
      <c r="I100">
        <f t="shared" ca="1" si="10"/>
        <v>7</v>
      </c>
      <c r="J100">
        <f t="shared" ca="1" si="11"/>
        <v>0.12</v>
      </c>
      <c r="K100">
        <f t="shared" ca="1" si="12"/>
        <v>-19276543367.347168</v>
      </c>
      <c r="L100" s="4">
        <f t="shared" ca="1" si="13"/>
        <v>-1</v>
      </c>
      <c r="M100">
        <f t="shared" ca="1" si="14"/>
        <v>2.4508050552678102</v>
      </c>
      <c r="N100" t="str">
        <f t="shared" ca="1" si="15"/>
        <v>Reject</v>
      </c>
    </row>
    <row r="101" spans="1:14" x14ac:dyDescent="0.3">
      <c r="A101" t="s">
        <v>111</v>
      </c>
      <c r="B101" t="str" cm="1">
        <f t="array" ref="B101">INDEX([1]Sheet1!$A$2:$A$26, INT((ROW()-5)/10)+1)</f>
        <v>Tata Power</v>
      </c>
      <c r="C101" t="str">
        <f>VLOOKUP(B101, [1]Sheet1!$A:$B, 2, FALSE)</f>
        <v>Energy</v>
      </c>
      <c r="D101">
        <f ca="1">VLOOKUP($B101, [1]Sheet1!$A:$F, 3, FALSE) * (RANDBETWEEN(10,25)/100)</f>
        <v>1360000000000</v>
      </c>
      <c r="E101">
        <f t="shared" ca="1" si="9"/>
        <v>-1360000000000</v>
      </c>
      <c r="F101">
        <f ca="1">VLOOKUP($B101, [1]Sheet1!$A:$F, 4, FALSE) * (RANDBETWEEN(40,70)/100)</f>
        <v>823996800000</v>
      </c>
      <c r="G101">
        <f ca="1">VLOOKUP($B101, [1]Sheet1!$A:$F, 5, FALSE) * (RANDBETWEEN(60,100)/100)</f>
        <v>915033600000</v>
      </c>
      <c r="H101">
        <f t="shared" ca="1" si="8"/>
        <v>1015687296000.0001</v>
      </c>
      <c r="I101">
        <f t="shared" ca="1" si="10"/>
        <v>5</v>
      </c>
      <c r="J101">
        <f t="shared" ca="1" si="11"/>
        <v>0.1</v>
      </c>
      <c r="K101">
        <f t="shared" ca="1" si="12"/>
        <v>908415014274.98096</v>
      </c>
      <c r="L101" s="4">
        <f t="shared" ca="1" si="13"/>
        <v>-1</v>
      </c>
      <c r="M101">
        <f t="shared" ca="1" si="14"/>
        <v>1.5857743365926673</v>
      </c>
      <c r="N101" t="str">
        <f t="shared" ca="1" si="15"/>
        <v>Reject</v>
      </c>
    </row>
    <row r="102" spans="1:14" x14ac:dyDescent="0.3">
      <c r="A102" t="s">
        <v>112</v>
      </c>
      <c r="B102" t="str" cm="1">
        <f t="array" ref="B102">INDEX([1]Sheet1!$A$2:$A$26, INT((ROW()-5)/10)+1)</f>
        <v>Tata Power</v>
      </c>
      <c r="C102" t="str">
        <f>VLOOKUP(B102, [1]Sheet1!$A:$B, 2, FALSE)</f>
        <v>Energy</v>
      </c>
      <c r="D102">
        <f ca="1">VLOOKUP($B102, [1]Sheet1!$A:$F, 3, FALSE) * (RANDBETWEEN(10,25)/100)</f>
        <v>935000000000</v>
      </c>
      <c r="E102">
        <f t="shared" ca="1" si="9"/>
        <v>-935000000000</v>
      </c>
      <c r="F102">
        <f ca="1">VLOOKUP($B102, [1]Sheet1!$A:$F, 4, FALSE) * (RANDBETWEEN(40,70)/100)</f>
        <v>630115200000</v>
      </c>
      <c r="G102">
        <f ca="1">VLOOKUP($B102, [1]Sheet1!$A:$F, 5, FALSE) * (RANDBETWEEN(60,100)/100)</f>
        <v>876096000000</v>
      </c>
      <c r="H102">
        <f t="shared" ca="1" si="8"/>
        <v>1042554240000</v>
      </c>
      <c r="I102">
        <f t="shared" ca="1" si="10"/>
        <v>8</v>
      </c>
      <c r="J102">
        <f t="shared" ca="1" si="11"/>
        <v>0.12</v>
      </c>
      <c r="K102">
        <f t="shared" ca="1" si="12"/>
        <v>1068090739795.918</v>
      </c>
      <c r="L102" s="4">
        <f t="shared" ca="1" si="13"/>
        <v>0.65073960878426473</v>
      </c>
      <c r="M102">
        <f t="shared" ca="1" si="14"/>
        <v>1.3480038717218203</v>
      </c>
      <c r="N102" t="str">
        <f t="shared" ca="1" si="15"/>
        <v>Accept</v>
      </c>
    </row>
    <row r="103" spans="1:14" x14ac:dyDescent="0.3">
      <c r="A103" t="s">
        <v>113</v>
      </c>
      <c r="B103" t="str" cm="1">
        <f t="array" ref="B103">INDEX([1]Sheet1!$A$2:$A$26, INT((ROW()-5)/10)+1)</f>
        <v>Tata Power</v>
      </c>
      <c r="C103" t="str">
        <f>VLOOKUP(B103, [1]Sheet1!$A:$B, 2, FALSE)</f>
        <v>Energy</v>
      </c>
      <c r="D103">
        <f ca="1">VLOOKUP($B103, [1]Sheet1!$A:$F, 3, FALSE) * (RANDBETWEEN(10,25)/100)</f>
        <v>1105000000000</v>
      </c>
      <c r="E103">
        <f t="shared" ca="1" si="9"/>
        <v>-1105000000000</v>
      </c>
      <c r="F103">
        <f ca="1">VLOOKUP($B103, [1]Sheet1!$A:$F, 4, FALSE) * (RANDBETWEEN(40,70)/100)</f>
        <v>617997600000</v>
      </c>
      <c r="G103">
        <f ca="1">VLOOKUP($B103, [1]Sheet1!$A:$F, 5, FALSE) * (RANDBETWEEN(60,100)/100)</f>
        <v>593798400000</v>
      </c>
      <c r="H103">
        <f t="shared" ca="1" si="8"/>
        <v>659116224000</v>
      </c>
      <c r="I103">
        <f t="shared" ca="1" si="10"/>
        <v>7</v>
      </c>
      <c r="J103">
        <f t="shared" ca="1" si="11"/>
        <v>0.12</v>
      </c>
      <c r="K103">
        <f t="shared" ca="1" si="12"/>
        <v>389301929664.7229</v>
      </c>
      <c r="L103" s="4">
        <f t="shared" ca="1" si="13"/>
        <v>0.31383849884696358</v>
      </c>
      <c r="M103">
        <f t="shared" ca="1" si="14"/>
        <v>1.8201477134327071</v>
      </c>
      <c r="N103" t="str">
        <f t="shared" ca="1" si="15"/>
        <v>Accept</v>
      </c>
    </row>
    <row r="104" spans="1:14" x14ac:dyDescent="0.3">
      <c r="A104" t="s">
        <v>114</v>
      </c>
      <c r="B104" t="str" cm="1">
        <f t="array" ref="B104">INDEX([1]Sheet1!$A$2:$A$26, INT((ROW()-5)/10)+1)</f>
        <v>Tata Power</v>
      </c>
      <c r="C104" t="str">
        <f>VLOOKUP(B104, [1]Sheet1!$A:$B, 2, FALSE)</f>
        <v>Energy</v>
      </c>
      <c r="D104">
        <f ca="1">VLOOKUP($B104, [1]Sheet1!$A:$F, 3, FALSE) * (RANDBETWEEN(10,25)/100)</f>
        <v>1530000000000</v>
      </c>
      <c r="E104">
        <f t="shared" ca="1" si="9"/>
        <v>-1530000000000</v>
      </c>
      <c r="F104">
        <f ca="1">VLOOKUP($B104, [1]Sheet1!$A:$F, 4, FALSE) * (RANDBETWEEN(40,70)/100)</f>
        <v>593762400000</v>
      </c>
      <c r="G104">
        <f ca="1">VLOOKUP($B104, [1]Sheet1!$A:$F, 5, FALSE) * (RANDBETWEEN(60,100)/100)</f>
        <v>613267200000</v>
      </c>
      <c r="H104">
        <f t="shared" ca="1" si="8"/>
        <v>705257280000</v>
      </c>
      <c r="I104">
        <f t="shared" ca="1" si="10"/>
        <v>6</v>
      </c>
      <c r="J104">
        <f t="shared" ca="1" si="11"/>
        <v>0.1</v>
      </c>
      <c r="K104">
        <f t="shared" ca="1" si="12"/>
        <v>46486629601.802734</v>
      </c>
      <c r="L104" s="4">
        <f t="shared" ca="1" si="13"/>
        <v>-1</v>
      </c>
      <c r="M104">
        <f t="shared" ca="1" si="14"/>
        <v>2.4579469211576237</v>
      </c>
      <c r="N104" t="str">
        <f t="shared" ca="1" si="15"/>
        <v>Reject</v>
      </c>
    </row>
    <row r="105" spans="1:14" x14ac:dyDescent="0.3">
      <c r="A105" t="s">
        <v>115</v>
      </c>
      <c r="B105" t="str" cm="1">
        <f t="array" ref="B105">INDEX([1]Sheet1!$A$2:$A$26, INT((ROW()-5)/10)+1)</f>
        <v>HDFC</v>
      </c>
      <c r="C105" t="str">
        <f>VLOOKUP(B105, [1]Sheet1!$A:$B, 2, FALSE)</f>
        <v>Finance</v>
      </c>
      <c r="D105">
        <f ca="1">VLOOKUP($B105, [1]Sheet1!$A:$F, 3, FALSE) * (RANDBETWEEN(10,25)/100)</f>
        <v>302400000000</v>
      </c>
      <c r="E105">
        <f t="shared" ca="1" si="9"/>
        <v>-302400000000</v>
      </c>
      <c r="F105">
        <f ca="1">VLOOKUP($B105, [1]Sheet1!$A:$F, 4, FALSE) * (RANDBETWEEN(40,70)/100)</f>
        <v>842400000000</v>
      </c>
      <c r="G105">
        <f ca="1">VLOOKUP($B105, [1]Sheet1!$A:$F, 5, FALSE) * (RANDBETWEEN(60,100)/100)</f>
        <v>134160000000</v>
      </c>
      <c r="H105">
        <f t="shared" ca="1" si="8"/>
        <v>143551200000</v>
      </c>
      <c r="I105">
        <f t="shared" ca="1" si="10"/>
        <v>3</v>
      </c>
      <c r="J105">
        <f t="shared" ca="1" si="11"/>
        <v>0.08</v>
      </c>
      <c r="K105">
        <f t="shared" ca="1" si="12"/>
        <v>706576146928.82178</v>
      </c>
      <c r="L105" s="4">
        <f t="shared" ca="1" si="13"/>
        <v>1.9874116376035214</v>
      </c>
      <c r="M105">
        <f t="shared" ca="1" si="14"/>
        <v>1</v>
      </c>
      <c r="N105" t="str">
        <f t="shared" ca="1" si="15"/>
        <v>Accept</v>
      </c>
    </row>
    <row r="106" spans="1:14" x14ac:dyDescent="0.3">
      <c r="A106" t="s">
        <v>116</v>
      </c>
      <c r="B106" t="str" cm="1">
        <f t="array" ref="B106">INDEX([1]Sheet1!$A$2:$A$26, INT((ROW()-5)/10)+1)</f>
        <v>HDFC</v>
      </c>
      <c r="C106" t="str">
        <f>VLOOKUP(B106, [1]Sheet1!$A:$B, 2, FALSE)</f>
        <v>Finance</v>
      </c>
      <c r="D106">
        <f ca="1">VLOOKUP($B106, [1]Sheet1!$A:$F, 3, FALSE) * (RANDBETWEEN(10,25)/100)</f>
        <v>252000000000</v>
      </c>
      <c r="E106">
        <f t="shared" ca="1" si="9"/>
        <v>-252000000000</v>
      </c>
      <c r="F106">
        <f ca="1">VLOOKUP($B106, [1]Sheet1!$A:$F, 4, FALSE) * (RANDBETWEEN(40,70)/100)</f>
        <v>998400000000</v>
      </c>
      <c r="G106">
        <f ca="1">VLOOKUP($B106, [1]Sheet1!$A:$F, 5, FALSE) * (RANDBETWEEN(60,100)/100)</f>
        <v>110080000000</v>
      </c>
      <c r="H106">
        <f t="shared" ca="1" si="8"/>
        <v>123289600000.00002</v>
      </c>
      <c r="I106">
        <f t="shared" ca="1" si="10"/>
        <v>4</v>
      </c>
      <c r="J106">
        <f t="shared" ca="1" si="11"/>
        <v>0.1</v>
      </c>
      <c r="K106">
        <f t="shared" ca="1" si="12"/>
        <v>839240871525.16882</v>
      </c>
      <c r="L106" s="4">
        <f t="shared" ca="1" si="13"/>
        <v>3.0976465442387733</v>
      </c>
      <c r="M106">
        <f t="shared" ca="1" si="14"/>
        <v>1</v>
      </c>
      <c r="N106" t="str">
        <f t="shared" ca="1" si="15"/>
        <v>Accept</v>
      </c>
    </row>
    <row r="107" spans="1:14" x14ac:dyDescent="0.3">
      <c r="A107" t="s">
        <v>117</v>
      </c>
      <c r="B107" t="str" cm="1">
        <f t="array" ref="B107">INDEX([1]Sheet1!$A$2:$A$26, INT((ROW()-5)/10)+1)</f>
        <v>HDFC</v>
      </c>
      <c r="C107" t="str">
        <f>VLOOKUP(B107, [1]Sheet1!$A:$B, 2, FALSE)</f>
        <v>Finance</v>
      </c>
      <c r="D107">
        <f ca="1">VLOOKUP($B107, [1]Sheet1!$A:$F, 3, FALSE) * (RANDBETWEEN(10,25)/100)</f>
        <v>579600000000</v>
      </c>
      <c r="E107">
        <f t="shared" ca="1" si="9"/>
        <v>-579600000000</v>
      </c>
      <c r="F107">
        <f ca="1">VLOOKUP($B107, [1]Sheet1!$A:$F, 4, FALSE) * (RANDBETWEEN(40,70)/100)</f>
        <v>1045200000000.0001</v>
      </c>
      <c r="G107">
        <f ca="1">VLOOKUP($B107, [1]Sheet1!$A:$F, 5, FALSE) * (RANDBETWEEN(60,100)/100)</f>
        <v>129000000000</v>
      </c>
      <c r="H107">
        <f t="shared" ca="1" si="8"/>
        <v>138030000000</v>
      </c>
      <c r="I107">
        <f t="shared" ca="1" si="10"/>
        <v>4</v>
      </c>
      <c r="J107">
        <f t="shared" ca="1" si="11"/>
        <v>0.1</v>
      </c>
      <c r="K107">
        <f t="shared" ca="1" si="12"/>
        <v>580897370398.19678</v>
      </c>
      <c r="L107" s="4">
        <f t="shared" ca="1" si="13"/>
        <v>0.97683998415652962</v>
      </c>
      <c r="M107">
        <f t="shared" ca="1" si="14"/>
        <v>1</v>
      </c>
      <c r="N107" t="str">
        <f t="shared" ca="1" si="15"/>
        <v>Accept</v>
      </c>
    </row>
    <row r="108" spans="1:14" x14ac:dyDescent="0.3">
      <c r="A108" t="s">
        <v>118</v>
      </c>
      <c r="B108" t="str" cm="1">
        <f t="array" ref="B108">INDEX([1]Sheet1!$A$2:$A$26, INT((ROW()-5)/10)+1)</f>
        <v>HDFC</v>
      </c>
      <c r="C108" t="str">
        <f>VLOOKUP(B108, [1]Sheet1!$A:$B, 2, FALSE)</f>
        <v>Finance</v>
      </c>
      <c r="D108">
        <f ca="1">VLOOKUP($B108, [1]Sheet1!$A:$F, 3, FALSE) * (RANDBETWEEN(10,25)/100)</f>
        <v>630000000000</v>
      </c>
      <c r="E108">
        <f t="shared" ca="1" si="9"/>
        <v>-630000000000</v>
      </c>
      <c r="F108">
        <f ca="1">VLOOKUP($B108, [1]Sheet1!$A:$F, 4, FALSE) * (RANDBETWEEN(40,70)/100)</f>
        <v>639600000000</v>
      </c>
      <c r="G108">
        <f ca="1">VLOOKUP($B108, [1]Sheet1!$A:$F, 5, FALSE) * (RANDBETWEEN(60,100)/100)</f>
        <v>159960000000</v>
      </c>
      <c r="H108">
        <f t="shared" ca="1" si="8"/>
        <v>190352400000</v>
      </c>
      <c r="I108">
        <f t="shared" ca="1" si="10"/>
        <v>5</v>
      </c>
      <c r="J108">
        <f t="shared" ca="1" si="11"/>
        <v>0.1</v>
      </c>
      <c r="K108">
        <f t="shared" ca="1" si="12"/>
        <v>226667468069.12085</v>
      </c>
      <c r="L108" s="4">
        <f t="shared" ca="1" si="13"/>
        <v>0.36384462900857373</v>
      </c>
      <c r="M108">
        <f t="shared" ca="1" si="14"/>
        <v>1</v>
      </c>
      <c r="N108" t="str">
        <f t="shared" ca="1" si="15"/>
        <v>Accept</v>
      </c>
    </row>
    <row r="109" spans="1:14" x14ac:dyDescent="0.3">
      <c r="A109" t="s">
        <v>119</v>
      </c>
      <c r="B109" t="str" cm="1">
        <f t="array" ref="B109">INDEX([1]Sheet1!$A$2:$A$26, INT((ROW()-5)/10)+1)</f>
        <v>HDFC</v>
      </c>
      <c r="C109" t="str">
        <f>VLOOKUP(B109, [1]Sheet1!$A:$B, 2, FALSE)</f>
        <v>Finance</v>
      </c>
      <c r="D109">
        <f ca="1">VLOOKUP($B109, [1]Sheet1!$A:$F, 3, FALSE) * (RANDBETWEEN(10,25)/100)</f>
        <v>327600000000</v>
      </c>
      <c r="E109">
        <f t="shared" ca="1" si="9"/>
        <v>-327600000000</v>
      </c>
      <c r="F109">
        <f ca="1">VLOOKUP($B109, [1]Sheet1!$A:$F, 4, FALSE) * (RANDBETWEEN(40,70)/100)</f>
        <v>1076399999999.9999</v>
      </c>
      <c r="G109">
        <f ca="1">VLOOKUP($B109, [1]Sheet1!$A:$F, 5, FALSE) * (RANDBETWEEN(60,100)/100)</f>
        <v>142760000000</v>
      </c>
      <c r="H109">
        <f t="shared" ca="1" si="8"/>
        <v>157036000000</v>
      </c>
      <c r="I109">
        <f t="shared" ca="1" si="10"/>
        <v>6</v>
      </c>
      <c r="J109">
        <f t="shared" ca="1" si="11"/>
        <v>0.1</v>
      </c>
      <c r="K109">
        <f t="shared" ca="1" si="12"/>
        <v>886912396694.2146</v>
      </c>
      <c r="L109" s="4">
        <f t="shared" ca="1" si="13"/>
        <v>2.4521692990034301</v>
      </c>
      <c r="M109">
        <f t="shared" ca="1" si="14"/>
        <v>1</v>
      </c>
      <c r="N109" t="str">
        <f t="shared" ca="1" si="15"/>
        <v>Accept</v>
      </c>
    </row>
    <row r="110" spans="1:14" x14ac:dyDescent="0.3">
      <c r="A110" t="s">
        <v>120</v>
      </c>
      <c r="B110" t="str" cm="1">
        <f t="array" ref="B110">INDEX([1]Sheet1!$A$2:$A$26, INT((ROW()-5)/10)+1)</f>
        <v>HDFC</v>
      </c>
      <c r="C110" t="str">
        <f>VLOOKUP(B110, [1]Sheet1!$A:$B, 2, FALSE)</f>
        <v>Finance</v>
      </c>
      <c r="D110">
        <f ca="1">VLOOKUP($B110, [1]Sheet1!$A:$F, 3, FALSE) * (RANDBETWEEN(10,25)/100)</f>
        <v>529200000000</v>
      </c>
      <c r="E110">
        <f t="shared" ca="1" si="9"/>
        <v>-529200000000</v>
      </c>
      <c r="F110">
        <f ca="1">VLOOKUP($B110, [1]Sheet1!$A:$F, 4, FALSE) * (RANDBETWEEN(40,70)/100)</f>
        <v>655200000000</v>
      </c>
      <c r="G110">
        <f ca="1">VLOOKUP($B110, [1]Sheet1!$A:$F, 5, FALSE) * (RANDBETWEEN(60,100)/100)</f>
        <v>153080000000</v>
      </c>
      <c r="H110">
        <f t="shared" ca="1" si="8"/>
        <v>177572800000</v>
      </c>
      <c r="I110">
        <f t="shared" ca="1" si="10"/>
        <v>6</v>
      </c>
      <c r="J110">
        <f t="shared" ca="1" si="11"/>
        <v>0.1</v>
      </c>
      <c r="K110">
        <f t="shared" ca="1" si="12"/>
        <v>326361833208.11414</v>
      </c>
      <c r="L110" s="4">
        <f t="shared" ca="1" si="13"/>
        <v>0.56108435024314662</v>
      </c>
      <c r="M110">
        <f t="shared" ca="1" si="14"/>
        <v>1</v>
      </c>
      <c r="N110" t="str">
        <f t="shared" ca="1" si="15"/>
        <v>Accept</v>
      </c>
    </row>
    <row r="111" spans="1:14" x14ac:dyDescent="0.3">
      <c r="A111" t="s">
        <v>121</v>
      </c>
      <c r="B111" t="str" cm="1">
        <f t="array" ref="B111">INDEX([1]Sheet1!$A$2:$A$26, INT((ROW()-5)/10)+1)</f>
        <v>HDFC</v>
      </c>
      <c r="C111" t="str">
        <f>VLOOKUP(B111, [1]Sheet1!$A:$B, 2, FALSE)</f>
        <v>Finance</v>
      </c>
      <c r="D111">
        <f ca="1">VLOOKUP($B111, [1]Sheet1!$A:$F, 3, FALSE) * (RANDBETWEEN(10,25)/100)</f>
        <v>604800000000</v>
      </c>
      <c r="E111">
        <f t="shared" ca="1" si="9"/>
        <v>-604800000000</v>
      </c>
      <c r="F111">
        <f ca="1">VLOOKUP($B111, [1]Sheet1!$A:$F, 4, FALSE) * (RANDBETWEEN(40,70)/100)</f>
        <v>639600000000</v>
      </c>
      <c r="G111">
        <f ca="1">VLOOKUP($B111, [1]Sheet1!$A:$F, 5, FALSE) * (RANDBETWEEN(60,100)/100)</f>
        <v>108360000000</v>
      </c>
      <c r="H111">
        <f t="shared" ca="1" si="8"/>
        <v>114861600000</v>
      </c>
      <c r="I111">
        <f t="shared" ca="1" si="10"/>
        <v>5</v>
      </c>
      <c r="J111">
        <f t="shared" ca="1" si="11"/>
        <v>0.1</v>
      </c>
      <c r="K111">
        <f t="shared" ca="1" si="12"/>
        <v>152505484598.04639</v>
      </c>
      <c r="L111" s="4">
        <f t="shared" ca="1" si="13"/>
        <v>0.3060576717097987</v>
      </c>
      <c r="M111">
        <f t="shared" ca="1" si="14"/>
        <v>1</v>
      </c>
      <c r="N111" t="str">
        <f t="shared" ca="1" si="15"/>
        <v>Accept</v>
      </c>
    </row>
    <row r="112" spans="1:14" x14ac:dyDescent="0.3">
      <c r="A112" t="s">
        <v>122</v>
      </c>
      <c r="B112" t="str" cm="1">
        <f t="array" ref="B112">INDEX([1]Sheet1!$A$2:$A$26, INT((ROW()-5)/10)+1)</f>
        <v>HDFC</v>
      </c>
      <c r="C112" t="str">
        <f>VLOOKUP(B112, [1]Sheet1!$A:$B, 2, FALSE)</f>
        <v>Finance</v>
      </c>
      <c r="D112">
        <f ca="1">VLOOKUP($B112, [1]Sheet1!$A:$F, 3, FALSE) * (RANDBETWEEN(10,25)/100)</f>
        <v>554400000000</v>
      </c>
      <c r="E112">
        <f t="shared" ca="1" si="9"/>
        <v>-554400000000</v>
      </c>
      <c r="F112">
        <f ca="1">VLOOKUP($B112, [1]Sheet1!$A:$F, 4, FALSE) * (RANDBETWEEN(40,70)/100)</f>
        <v>904799999999.99988</v>
      </c>
      <c r="G112">
        <f ca="1">VLOOKUP($B112, [1]Sheet1!$A:$F, 5, FALSE) * (RANDBETWEEN(60,100)/100)</f>
        <v>170280000000</v>
      </c>
      <c r="H112">
        <f t="shared" ca="1" si="8"/>
        <v>204336000000</v>
      </c>
      <c r="I112">
        <f t="shared" ca="1" si="10"/>
        <v>6</v>
      </c>
      <c r="J112">
        <f t="shared" ca="1" si="11"/>
        <v>0.1</v>
      </c>
      <c r="K112">
        <f t="shared" ca="1" si="12"/>
        <v>562393388429.75171</v>
      </c>
      <c r="L112" s="4">
        <f t="shared" ca="1" si="13"/>
        <v>0.89646785795803163</v>
      </c>
      <c r="M112">
        <f t="shared" ca="1" si="14"/>
        <v>1</v>
      </c>
      <c r="N112" t="str">
        <f t="shared" ca="1" si="15"/>
        <v>Accept</v>
      </c>
    </row>
    <row r="113" spans="1:14" x14ac:dyDescent="0.3">
      <c r="A113" t="s">
        <v>123</v>
      </c>
      <c r="B113" t="str" cm="1">
        <f t="array" ref="B113">INDEX([1]Sheet1!$A$2:$A$26, INT((ROW()-5)/10)+1)</f>
        <v>HDFC</v>
      </c>
      <c r="C113" t="str">
        <f>VLOOKUP(B113, [1]Sheet1!$A:$B, 2, FALSE)</f>
        <v>Finance</v>
      </c>
      <c r="D113">
        <f ca="1">VLOOKUP($B113, [1]Sheet1!$A:$F, 3, FALSE) * (RANDBETWEEN(10,25)/100)</f>
        <v>604800000000</v>
      </c>
      <c r="E113">
        <f t="shared" ca="1" si="9"/>
        <v>-604800000000</v>
      </c>
      <c r="F113">
        <f ca="1">VLOOKUP($B113, [1]Sheet1!$A:$F, 4, FALSE) * (RANDBETWEEN(40,70)/100)</f>
        <v>1029600000000</v>
      </c>
      <c r="G113">
        <f ca="1">VLOOKUP($B113, [1]Sheet1!$A:$F, 5, FALSE) * (RANDBETWEEN(60,100)/100)</f>
        <v>170280000000</v>
      </c>
      <c r="H113">
        <f t="shared" ca="1" si="8"/>
        <v>187308000000</v>
      </c>
      <c r="I113">
        <f t="shared" ca="1" si="10"/>
        <v>5</v>
      </c>
      <c r="J113">
        <f t="shared" ca="1" si="11"/>
        <v>0.1</v>
      </c>
      <c r="K113">
        <f t="shared" ca="1" si="12"/>
        <v>612654545454.54517</v>
      </c>
      <c r="L113" s="4">
        <f t="shared" ca="1" si="13"/>
        <v>0.93120896923553897</v>
      </c>
      <c r="M113">
        <f t="shared" ca="1" si="14"/>
        <v>1</v>
      </c>
      <c r="N113" t="str">
        <f t="shared" ca="1" si="15"/>
        <v>Accept</v>
      </c>
    </row>
    <row r="114" spans="1:14" x14ac:dyDescent="0.3">
      <c r="A114" t="s">
        <v>124</v>
      </c>
      <c r="B114" t="str" cm="1">
        <f t="array" ref="B114">INDEX([1]Sheet1!$A$2:$A$26, INT((ROW()-5)/10)+1)</f>
        <v>HDFC</v>
      </c>
      <c r="C114" t="str">
        <f>VLOOKUP(B114, [1]Sheet1!$A:$B, 2, FALSE)</f>
        <v>Finance</v>
      </c>
      <c r="D114">
        <f ca="1">VLOOKUP($B114, [1]Sheet1!$A:$F, 3, FALSE) * (RANDBETWEEN(10,25)/100)</f>
        <v>403200000000</v>
      </c>
      <c r="E114">
        <f t="shared" ca="1" si="9"/>
        <v>-403200000000</v>
      </c>
      <c r="F114">
        <f ca="1">VLOOKUP($B114, [1]Sheet1!$A:$F, 4, FALSE) * (RANDBETWEEN(40,70)/100)</f>
        <v>826800000000</v>
      </c>
      <c r="G114">
        <f ca="1">VLOOKUP($B114, [1]Sheet1!$A:$F, 5, FALSE) * (RANDBETWEEN(60,100)/100)</f>
        <v>104920000000</v>
      </c>
      <c r="H114">
        <f t="shared" ca="1" si="8"/>
        <v>123805600000</v>
      </c>
      <c r="I114">
        <f t="shared" ca="1" si="10"/>
        <v>5</v>
      </c>
      <c r="J114">
        <f t="shared" ca="1" si="11"/>
        <v>0.1</v>
      </c>
      <c r="K114">
        <f t="shared" ca="1" si="12"/>
        <v>528164087152.51672</v>
      </c>
      <c r="L114" s="4">
        <f t="shared" ca="1" si="13"/>
        <v>1.2291254501220288</v>
      </c>
      <c r="M114">
        <f t="shared" ca="1" si="14"/>
        <v>1</v>
      </c>
      <c r="N114" t="str">
        <f t="shared" ca="1" si="15"/>
        <v>Accept</v>
      </c>
    </row>
    <row r="115" spans="1:14" x14ac:dyDescent="0.3">
      <c r="A115" t="s">
        <v>125</v>
      </c>
      <c r="B115" t="str" cm="1">
        <f t="array" ref="B115">INDEX([1]Sheet1!$A$2:$A$26, INT((ROW()-5)/10)+1)</f>
        <v>ICICI</v>
      </c>
      <c r="C115" t="str">
        <f>VLOOKUP(B115, [1]Sheet1!$A:$B, 2, FALSE)</f>
        <v>Finance</v>
      </c>
      <c r="D115">
        <f ca="1">VLOOKUP($B115, [1]Sheet1!$A:$F, 3, FALSE) * (RANDBETWEEN(10,25)/100)</f>
        <v>483588000000</v>
      </c>
      <c r="E115">
        <f t="shared" ca="1" si="9"/>
        <v>-483588000000</v>
      </c>
      <c r="F115">
        <f ca="1">VLOOKUP($B115, [1]Sheet1!$A:$F, 4, FALSE) * (RANDBETWEEN(40,70)/100)</f>
        <v>793728000000</v>
      </c>
      <c r="G115">
        <f ca="1">VLOOKUP($B115, [1]Sheet1!$A:$F, 5, FALSE) * (RANDBETWEEN(60,100)/100)</f>
        <v>120520400000</v>
      </c>
      <c r="H115">
        <f t="shared" ca="1" si="8"/>
        <v>127751624000</v>
      </c>
      <c r="I115">
        <f t="shared" ca="1" si="10"/>
        <v>3</v>
      </c>
      <c r="J115">
        <f t="shared" ca="1" si="11"/>
        <v>0.08</v>
      </c>
      <c r="K115">
        <f t="shared" ca="1" si="12"/>
        <v>456085508865.51843</v>
      </c>
      <c r="L115" s="4">
        <f t="shared" ca="1" si="13"/>
        <v>0.85279663886993218</v>
      </c>
      <c r="M115">
        <f t="shared" ca="1" si="14"/>
        <v>1</v>
      </c>
      <c r="N115" t="str">
        <f t="shared" ca="1" si="15"/>
        <v>Accept</v>
      </c>
    </row>
    <row r="116" spans="1:14" x14ac:dyDescent="0.3">
      <c r="A116" t="s">
        <v>126</v>
      </c>
      <c r="B116" t="str" cm="1">
        <f t="array" ref="B116">INDEX([1]Sheet1!$A$2:$A$26, INT((ROW()-5)/10)+1)</f>
        <v>ICICI</v>
      </c>
      <c r="C116" t="str">
        <f>VLOOKUP(B116, [1]Sheet1!$A:$B, 2, FALSE)</f>
        <v>Finance</v>
      </c>
      <c r="D116">
        <f ca="1">VLOOKUP($B116, [1]Sheet1!$A:$F, 3, FALSE) * (RANDBETWEEN(10,25)/100)</f>
        <v>534492000000</v>
      </c>
      <c r="E116">
        <f t="shared" ca="1" si="9"/>
        <v>-534492000000</v>
      </c>
      <c r="F116">
        <f ca="1">VLOOKUP($B116, [1]Sheet1!$A:$F, 4, FALSE) * (RANDBETWEEN(40,70)/100)</f>
        <v>876408000000</v>
      </c>
      <c r="G116">
        <f ca="1">VLOOKUP($B116, [1]Sheet1!$A:$F, 5, FALSE) * (RANDBETWEEN(60,100)/100)</f>
        <v>133042000000</v>
      </c>
      <c r="H116">
        <f t="shared" ca="1" si="8"/>
        <v>141024520000</v>
      </c>
      <c r="I116">
        <f t="shared" ca="1" si="10"/>
        <v>6</v>
      </c>
      <c r="J116">
        <f t="shared" ca="1" si="11"/>
        <v>0.1</v>
      </c>
      <c r="K116">
        <f t="shared" ca="1" si="12"/>
        <v>478148420736.28845</v>
      </c>
      <c r="L116" s="4">
        <f t="shared" ca="1" si="13"/>
        <v>0.85116131748763113</v>
      </c>
      <c r="M116">
        <f t="shared" ca="1" si="14"/>
        <v>1</v>
      </c>
      <c r="N116" t="str">
        <f t="shared" ca="1" si="15"/>
        <v>Accept</v>
      </c>
    </row>
    <row r="117" spans="1:14" x14ac:dyDescent="0.3">
      <c r="A117" t="s">
        <v>127</v>
      </c>
      <c r="B117" t="str" cm="1">
        <f t="array" ref="B117">INDEX([1]Sheet1!$A$2:$A$26, INT((ROW()-5)/10)+1)</f>
        <v>ICICI</v>
      </c>
      <c r="C117" t="str">
        <f>VLOOKUP(B117, [1]Sheet1!$A:$B, 2, FALSE)</f>
        <v>Finance</v>
      </c>
      <c r="D117">
        <f ca="1">VLOOKUP($B117, [1]Sheet1!$A:$F, 3, FALSE) * (RANDBETWEEN(10,25)/100)</f>
        <v>279972000000</v>
      </c>
      <c r="E117">
        <f t="shared" ca="1" si="9"/>
        <v>-279972000000</v>
      </c>
      <c r="F117">
        <f ca="1">VLOOKUP($B117, [1]Sheet1!$A:$F, 4, FALSE) * (RANDBETWEEN(40,70)/100)</f>
        <v>760656000000</v>
      </c>
      <c r="G117">
        <f ca="1">VLOOKUP($B117, [1]Sheet1!$A:$F, 5, FALSE) * (RANDBETWEEN(60,100)/100)</f>
        <v>154954800000</v>
      </c>
      <c r="H117">
        <f t="shared" ca="1" si="8"/>
        <v>173549376000.00003</v>
      </c>
      <c r="I117">
        <f t="shared" ca="1" si="10"/>
        <v>6</v>
      </c>
      <c r="J117">
        <f t="shared" ca="1" si="11"/>
        <v>0.1</v>
      </c>
      <c r="K117">
        <f t="shared" ca="1" si="12"/>
        <v>669985487603.30566</v>
      </c>
      <c r="L117" s="4">
        <f t="shared" ca="1" si="13"/>
        <v>1.973177128569362</v>
      </c>
      <c r="M117">
        <f t="shared" ca="1" si="14"/>
        <v>1</v>
      </c>
      <c r="N117" t="str">
        <f t="shared" ca="1" si="15"/>
        <v>Accept</v>
      </c>
    </row>
    <row r="118" spans="1:14" x14ac:dyDescent="0.3">
      <c r="A118" t="s">
        <v>128</v>
      </c>
      <c r="B118" t="str" cm="1">
        <f t="array" ref="B118">INDEX([1]Sheet1!$A$2:$A$26, INT((ROW()-5)/10)+1)</f>
        <v>ICICI</v>
      </c>
      <c r="C118" t="str">
        <f>VLOOKUP(B118, [1]Sheet1!$A:$B, 2, FALSE)</f>
        <v>Finance</v>
      </c>
      <c r="D118">
        <f ca="1">VLOOKUP($B118, [1]Sheet1!$A:$F, 3, FALSE) * (RANDBETWEEN(10,25)/100)</f>
        <v>432684000000.00006</v>
      </c>
      <c r="E118">
        <f t="shared" ca="1" si="9"/>
        <v>-432684000000.00006</v>
      </c>
      <c r="F118">
        <f ca="1">VLOOKUP($B118, [1]Sheet1!$A:$F, 4, FALSE) * (RANDBETWEEN(40,70)/100)</f>
        <v>793728000000</v>
      </c>
      <c r="G118">
        <f ca="1">VLOOKUP($B118, [1]Sheet1!$A:$F, 5, FALSE) * (RANDBETWEEN(60,100)/100)</f>
        <v>122085600000</v>
      </c>
      <c r="H118">
        <f t="shared" ca="1" si="8"/>
        <v>142840152000</v>
      </c>
      <c r="I118">
        <f t="shared" ca="1" si="10"/>
        <v>3</v>
      </c>
      <c r="J118">
        <f t="shared" ca="1" si="11"/>
        <v>0.08</v>
      </c>
      <c r="K118">
        <f t="shared" ca="1" si="12"/>
        <v>520309175582.9903</v>
      </c>
      <c r="L118" s="4">
        <f t="shared" ca="1" si="13"/>
        <v>1.0505437331567409</v>
      </c>
      <c r="M118">
        <f t="shared" ca="1" si="14"/>
        <v>1</v>
      </c>
      <c r="N118" t="str">
        <f t="shared" ca="1" si="15"/>
        <v>Accept</v>
      </c>
    </row>
    <row r="119" spans="1:14" x14ac:dyDescent="0.3">
      <c r="A119" t="s">
        <v>129</v>
      </c>
      <c r="B119" t="str" cm="1">
        <f t="array" ref="B119">INDEX([1]Sheet1!$A$2:$A$26, INT((ROW()-5)/10)+1)</f>
        <v>ICICI</v>
      </c>
      <c r="C119" t="str">
        <f>VLOOKUP(B119, [1]Sheet1!$A:$B, 2, FALSE)</f>
        <v>Finance</v>
      </c>
      <c r="D119">
        <f ca="1">VLOOKUP($B119, [1]Sheet1!$A:$F, 3, FALSE) * (RANDBETWEEN(10,25)/100)</f>
        <v>483588000000</v>
      </c>
      <c r="E119">
        <f t="shared" ca="1" si="9"/>
        <v>-483588000000</v>
      </c>
      <c r="F119">
        <f ca="1">VLOOKUP($B119, [1]Sheet1!$A:$F, 4, FALSE) * (RANDBETWEEN(40,70)/100)</f>
        <v>892944000000</v>
      </c>
      <c r="G119">
        <f ca="1">VLOOKUP($B119, [1]Sheet1!$A:$F, 5, FALSE) * (RANDBETWEEN(60,100)/100)</f>
        <v>129911600000</v>
      </c>
      <c r="H119">
        <f t="shared" ref="H119:H182" ca="1" si="16">G119 * (1 + RANDBETWEEN(5,20)/100)</f>
        <v>153295688000</v>
      </c>
      <c r="I119">
        <f t="shared" ca="1" si="10"/>
        <v>3</v>
      </c>
      <c r="J119">
        <f t="shared" ca="1" si="11"/>
        <v>0.08</v>
      </c>
      <c r="K119">
        <f t="shared" ca="1" si="12"/>
        <v>576281317431.28577</v>
      </c>
      <c r="L119" s="4">
        <f t="shared" ca="1" si="13"/>
        <v>1.0526134945337677</v>
      </c>
      <c r="M119">
        <f t="shared" ca="1" si="14"/>
        <v>1</v>
      </c>
      <c r="N119" t="str">
        <f t="shared" ca="1" si="15"/>
        <v>Accept</v>
      </c>
    </row>
    <row r="120" spans="1:14" x14ac:dyDescent="0.3">
      <c r="A120" t="s">
        <v>130</v>
      </c>
      <c r="B120" t="str" cm="1">
        <f t="array" ref="B120">INDEX([1]Sheet1!$A$2:$A$26, INT((ROW()-5)/10)+1)</f>
        <v>ICICI</v>
      </c>
      <c r="C120" t="str">
        <f>VLOOKUP(B120, [1]Sheet1!$A:$B, 2, FALSE)</f>
        <v>Finance</v>
      </c>
      <c r="D120">
        <f ca="1">VLOOKUP($B120, [1]Sheet1!$A:$F, 3, FALSE) * (RANDBETWEEN(10,25)/100)</f>
        <v>483588000000</v>
      </c>
      <c r="E120">
        <f t="shared" ca="1" si="9"/>
        <v>-483588000000</v>
      </c>
      <c r="F120">
        <f ca="1">VLOOKUP($B120, [1]Sheet1!$A:$F, 4, FALSE) * (RANDBETWEEN(40,70)/100)</f>
        <v>677976000000</v>
      </c>
      <c r="G120">
        <f ca="1">VLOOKUP($B120, [1]Sheet1!$A:$F, 5, FALSE) * (RANDBETWEEN(60,100)/100)</f>
        <v>93912000000</v>
      </c>
      <c r="H120">
        <f t="shared" ca="1" si="16"/>
        <v>111755280000</v>
      </c>
      <c r="I120">
        <f t="shared" ca="1" si="10"/>
        <v>5</v>
      </c>
      <c r="J120">
        <f t="shared" ca="1" si="11"/>
        <v>0.1</v>
      </c>
      <c r="K120">
        <f t="shared" ca="1" si="12"/>
        <v>294330437265.21399</v>
      </c>
      <c r="L120" s="4">
        <f t="shared" ca="1" si="13"/>
        <v>0.61147148047100508</v>
      </c>
      <c r="M120">
        <f t="shared" ca="1" si="14"/>
        <v>1</v>
      </c>
      <c r="N120" t="str">
        <f t="shared" ca="1" si="15"/>
        <v>Accept</v>
      </c>
    </row>
    <row r="121" spans="1:14" x14ac:dyDescent="0.3">
      <c r="A121" t="s">
        <v>131</v>
      </c>
      <c r="B121" t="str" cm="1">
        <f t="array" ref="B121">INDEX([1]Sheet1!$A$2:$A$26, INT((ROW()-5)/10)+1)</f>
        <v>ICICI</v>
      </c>
      <c r="C121" t="str">
        <f>VLOOKUP(B121, [1]Sheet1!$A:$B, 2, FALSE)</f>
        <v>Finance</v>
      </c>
      <c r="D121">
        <f ca="1">VLOOKUP($B121, [1]Sheet1!$A:$F, 3, FALSE) * (RANDBETWEEN(10,25)/100)</f>
        <v>432684000000.00006</v>
      </c>
      <c r="E121">
        <f t="shared" ca="1" si="9"/>
        <v>-432684000000.00006</v>
      </c>
      <c r="F121">
        <f ca="1">VLOOKUP($B121, [1]Sheet1!$A:$F, 4, FALSE) * (RANDBETWEEN(40,70)/100)</f>
        <v>1058304000000</v>
      </c>
      <c r="G121">
        <f ca="1">VLOOKUP($B121, [1]Sheet1!$A:$F, 5, FALSE) * (RANDBETWEEN(60,100)/100)</f>
        <v>140868000000</v>
      </c>
      <c r="H121">
        <f t="shared" ca="1" si="16"/>
        <v>167632920000</v>
      </c>
      <c r="I121">
        <f t="shared" ca="1" si="10"/>
        <v>6</v>
      </c>
      <c r="J121">
        <f t="shared" ca="1" si="11"/>
        <v>0.1</v>
      </c>
      <c r="K121">
        <f t="shared" ca="1" si="12"/>
        <v>771775474079.63916</v>
      </c>
      <c r="L121" s="4">
        <f t="shared" ca="1" si="13"/>
        <v>1.6260605047865107</v>
      </c>
      <c r="M121">
        <f t="shared" ca="1" si="14"/>
        <v>1</v>
      </c>
      <c r="N121" t="str">
        <f t="shared" ca="1" si="15"/>
        <v>Accept</v>
      </c>
    </row>
    <row r="122" spans="1:14" x14ac:dyDescent="0.3">
      <c r="A122" t="s">
        <v>132</v>
      </c>
      <c r="B122" t="str" cm="1">
        <f t="array" ref="B122">INDEX([1]Sheet1!$A$2:$A$26, INT((ROW()-5)/10)+1)</f>
        <v>ICICI</v>
      </c>
      <c r="C122" t="str">
        <f>VLOOKUP(B122, [1]Sheet1!$A:$B, 2, FALSE)</f>
        <v>Finance</v>
      </c>
      <c r="D122">
        <f ca="1">VLOOKUP($B122, [1]Sheet1!$A:$F, 3, FALSE) * (RANDBETWEEN(10,25)/100)</f>
        <v>559944000000</v>
      </c>
      <c r="E122">
        <f t="shared" ca="1" si="9"/>
        <v>-559944000000</v>
      </c>
      <c r="F122">
        <f ca="1">VLOOKUP($B122, [1]Sheet1!$A:$F, 4, FALSE) * (RANDBETWEEN(40,70)/100)</f>
        <v>1124448000000</v>
      </c>
      <c r="G122">
        <f ca="1">VLOOKUP($B122, [1]Sheet1!$A:$F, 5, FALSE) * (RANDBETWEEN(60,100)/100)</f>
        <v>145563600000</v>
      </c>
      <c r="H122">
        <f t="shared" ca="1" si="16"/>
        <v>173220684000</v>
      </c>
      <c r="I122">
        <f t="shared" ca="1" si="10"/>
        <v>6</v>
      </c>
      <c r="J122">
        <f t="shared" ca="1" si="11"/>
        <v>0.1</v>
      </c>
      <c r="K122">
        <f t="shared" ca="1" si="12"/>
        <v>712725214124.71826</v>
      </c>
      <c r="L122" s="4">
        <f t="shared" ca="1" si="13"/>
        <v>1.1912114631371509</v>
      </c>
      <c r="M122">
        <f t="shared" ca="1" si="14"/>
        <v>1</v>
      </c>
      <c r="N122" t="str">
        <f t="shared" ca="1" si="15"/>
        <v>Accept</v>
      </c>
    </row>
    <row r="123" spans="1:14" x14ac:dyDescent="0.3">
      <c r="A123" t="s">
        <v>133</v>
      </c>
      <c r="B123" t="str" cm="1">
        <f t="array" ref="B123">INDEX([1]Sheet1!$A$2:$A$26, INT((ROW()-5)/10)+1)</f>
        <v>ICICI</v>
      </c>
      <c r="C123" t="str">
        <f>VLOOKUP(B123, [1]Sheet1!$A:$B, 2, FALSE)</f>
        <v>Finance</v>
      </c>
      <c r="D123">
        <f ca="1">VLOOKUP($B123, [1]Sheet1!$A:$F, 3, FALSE) * (RANDBETWEEN(10,25)/100)</f>
        <v>279972000000</v>
      </c>
      <c r="E123">
        <f t="shared" ca="1" si="9"/>
        <v>-279972000000</v>
      </c>
      <c r="F123">
        <f ca="1">VLOOKUP($B123, [1]Sheet1!$A:$F, 4, FALSE) * (RANDBETWEEN(40,70)/100)</f>
        <v>926016000000.00012</v>
      </c>
      <c r="G123">
        <f ca="1">VLOOKUP($B123, [1]Sheet1!$A:$F, 5, FALSE) * (RANDBETWEEN(60,100)/100)</f>
        <v>151824400000</v>
      </c>
      <c r="H123">
        <f t="shared" ca="1" si="16"/>
        <v>176116304000</v>
      </c>
      <c r="I123">
        <f t="shared" ca="1" si="10"/>
        <v>4</v>
      </c>
      <c r="J123">
        <f t="shared" ca="1" si="11"/>
        <v>0.1</v>
      </c>
      <c r="K123">
        <f t="shared" ca="1" si="12"/>
        <v>819654223891.81055</v>
      </c>
      <c r="L123" s="4">
        <f t="shared" ca="1" si="13"/>
        <v>2.512876412294855</v>
      </c>
      <c r="M123">
        <f t="shared" ca="1" si="14"/>
        <v>1</v>
      </c>
      <c r="N123" t="str">
        <f t="shared" ca="1" si="15"/>
        <v>Accept</v>
      </c>
    </row>
    <row r="124" spans="1:14" x14ac:dyDescent="0.3">
      <c r="A124" t="s">
        <v>134</v>
      </c>
      <c r="B124" t="str" cm="1">
        <f t="array" ref="B124">INDEX([1]Sheet1!$A$2:$A$26, INT((ROW()-5)/10)+1)</f>
        <v>ICICI</v>
      </c>
      <c r="C124" t="str">
        <f>VLOOKUP(B124, [1]Sheet1!$A:$B, 2, FALSE)</f>
        <v>Finance</v>
      </c>
      <c r="D124">
        <f ca="1">VLOOKUP($B124, [1]Sheet1!$A:$F, 3, FALSE) * (RANDBETWEEN(10,25)/100)</f>
        <v>534492000000</v>
      </c>
      <c r="E124">
        <f t="shared" ca="1" si="9"/>
        <v>-534492000000</v>
      </c>
      <c r="F124">
        <f ca="1">VLOOKUP($B124, [1]Sheet1!$A:$F, 4, FALSE) * (RANDBETWEEN(40,70)/100)</f>
        <v>843336000000</v>
      </c>
      <c r="G124">
        <f ca="1">VLOOKUP($B124, [1]Sheet1!$A:$F, 5, FALSE) * (RANDBETWEEN(60,100)/100)</f>
        <v>153389600000</v>
      </c>
      <c r="H124">
        <f t="shared" ca="1" si="16"/>
        <v>176398040000</v>
      </c>
      <c r="I124">
        <f t="shared" ca="1" si="10"/>
        <v>6</v>
      </c>
      <c r="J124">
        <f t="shared" ca="1" si="11"/>
        <v>0.1</v>
      </c>
      <c r="K124">
        <f t="shared" ca="1" si="12"/>
        <v>491475813673.9292</v>
      </c>
      <c r="L124" s="4">
        <f t="shared" ca="1" si="13"/>
        <v>0.83267932452140037</v>
      </c>
      <c r="M124">
        <f t="shared" ca="1" si="14"/>
        <v>1</v>
      </c>
      <c r="N124" t="str">
        <f t="shared" ca="1" si="15"/>
        <v>Accept</v>
      </c>
    </row>
    <row r="125" spans="1:14" x14ac:dyDescent="0.3">
      <c r="A125" t="s">
        <v>135</v>
      </c>
      <c r="B125" t="str" cm="1">
        <f t="array" ref="B125">INDEX([1]Sheet1!$A$2:$A$26, INT((ROW()-5)/10)+1)</f>
        <v>SBI</v>
      </c>
      <c r="C125" t="str">
        <f>VLOOKUP(B125, [1]Sheet1!$A:$B, 2, FALSE)</f>
        <v>Finance</v>
      </c>
      <c r="D125">
        <f ca="1">VLOOKUP($B125, [1]Sheet1!$A:$F, 3, FALSE) * (RANDBETWEEN(10,25)/100)</f>
        <v>436968000000.00006</v>
      </c>
      <c r="E125">
        <f t="shared" ca="1" si="9"/>
        <v>-436968000000.00006</v>
      </c>
      <c r="F125">
        <f ca="1">VLOOKUP($B125, [1]Sheet1!$A:$F, 4, FALSE) * (RANDBETWEEN(40,70)/100)</f>
        <v>951443999999.99988</v>
      </c>
      <c r="G125">
        <f ca="1">VLOOKUP($B125, [1]Sheet1!$A:$F, 5, FALSE) * (RANDBETWEEN(60,100)/100)</f>
        <v>148745600000</v>
      </c>
      <c r="H125">
        <f t="shared" ca="1" si="16"/>
        <v>159157792000</v>
      </c>
      <c r="I125">
        <f t="shared" ca="1" si="10"/>
        <v>6</v>
      </c>
      <c r="J125">
        <f t="shared" ca="1" si="11"/>
        <v>0.1</v>
      </c>
      <c r="K125">
        <f t="shared" ca="1" si="12"/>
        <v>670488943651.38965</v>
      </c>
      <c r="L125" s="4">
        <f t="shared" ca="1" si="13"/>
        <v>1.3842245575423742</v>
      </c>
      <c r="M125">
        <f t="shared" ca="1" si="14"/>
        <v>1</v>
      </c>
      <c r="N125" t="str">
        <f t="shared" ca="1" si="15"/>
        <v>Accept</v>
      </c>
    </row>
    <row r="126" spans="1:14" x14ac:dyDescent="0.3">
      <c r="A126" t="s">
        <v>136</v>
      </c>
      <c r="B126" t="str" cm="1">
        <f t="array" ref="B126">INDEX([1]Sheet1!$A$2:$A$26, INT((ROW()-5)/10)+1)</f>
        <v>SBI</v>
      </c>
      <c r="C126" t="str">
        <f>VLOOKUP(B126, [1]Sheet1!$A:$B, 2, FALSE)</f>
        <v>Finance</v>
      </c>
      <c r="D126">
        <f ca="1">VLOOKUP($B126, [1]Sheet1!$A:$F, 3, FALSE) * (RANDBETWEEN(10,25)/100)</f>
        <v>565488000000</v>
      </c>
      <c r="E126">
        <f t="shared" ca="1" si="9"/>
        <v>-565488000000</v>
      </c>
      <c r="F126">
        <f ca="1">VLOOKUP($B126, [1]Sheet1!$A:$F, 4, FALSE) * (RANDBETWEEN(40,70)/100)</f>
        <v>717756000000</v>
      </c>
      <c r="G126">
        <f ca="1">VLOOKUP($B126, [1]Sheet1!$A:$F, 5, FALSE) * (RANDBETWEEN(60,100)/100)</f>
        <v>151910400000</v>
      </c>
      <c r="H126">
        <f t="shared" ca="1" si="16"/>
        <v>165582336000</v>
      </c>
      <c r="I126">
        <f t="shared" ca="1" si="10"/>
        <v>5</v>
      </c>
      <c r="J126">
        <f t="shared" ca="1" si="11"/>
        <v>0.1</v>
      </c>
      <c r="K126">
        <f t="shared" ca="1" si="12"/>
        <v>336967699474.07947</v>
      </c>
      <c r="L126" s="4">
        <f t="shared" ca="1" si="13"/>
        <v>0.56141721568944591</v>
      </c>
      <c r="M126">
        <f t="shared" ca="1" si="14"/>
        <v>1</v>
      </c>
      <c r="N126" t="str">
        <f t="shared" ca="1" si="15"/>
        <v>Accept</v>
      </c>
    </row>
    <row r="127" spans="1:14" x14ac:dyDescent="0.3">
      <c r="A127" t="s">
        <v>137</v>
      </c>
      <c r="B127" t="str" cm="1">
        <f t="array" ref="B127">INDEX([1]Sheet1!$A$2:$A$26, INT((ROW()-5)/10)+1)</f>
        <v>SBI</v>
      </c>
      <c r="C127" t="str">
        <f>VLOOKUP(B127, [1]Sheet1!$A:$B, 2, FALSE)</f>
        <v>Finance</v>
      </c>
      <c r="D127">
        <f ca="1">VLOOKUP($B127, [1]Sheet1!$A:$F, 3, FALSE) * (RANDBETWEEN(10,25)/100)</f>
        <v>462672000000</v>
      </c>
      <c r="E127">
        <f t="shared" ca="1" si="9"/>
        <v>-462672000000</v>
      </c>
      <c r="F127">
        <f ca="1">VLOOKUP($B127, [1]Sheet1!$A:$F, 4, FALSE) * (RANDBETWEEN(40,70)/100)</f>
        <v>851292000000</v>
      </c>
      <c r="G127">
        <f ca="1">VLOOKUP($B127, [1]Sheet1!$A:$F, 5, FALSE) * (RANDBETWEEN(60,100)/100)</f>
        <v>131339200000</v>
      </c>
      <c r="H127">
        <f t="shared" ca="1" si="16"/>
        <v>143159728000</v>
      </c>
      <c r="I127">
        <f t="shared" ca="1" si="10"/>
        <v>6</v>
      </c>
      <c r="J127">
        <f t="shared" ca="1" si="11"/>
        <v>0.1</v>
      </c>
      <c r="K127">
        <f t="shared" ca="1" si="12"/>
        <v>527332634109.69177</v>
      </c>
      <c r="L127" s="4">
        <f t="shared" ca="1" si="13"/>
        <v>1.0517979441712151</v>
      </c>
      <c r="M127">
        <f t="shared" ca="1" si="14"/>
        <v>1</v>
      </c>
      <c r="N127" t="str">
        <f t="shared" ca="1" si="15"/>
        <v>Accept</v>
      </c>
    </row>
    <row r="128" spans="1:14" x14ac:dyDescent="0.3">
      <c r="A128" t="s">
        <v>138</v>
      </c>
      <c r="B128" t="str" cm="1">
        <f t="array" ref="B128">INDEX([1]Sheet1!$A$2:$A$26, INT((ROW()-5)/10)+1)</f>
        <v>SBI</v>
      </c>
      <c r="C128" t="str">
        <f>VLOOKUP(B128, [1]Sheet1!$A:$B, 2, FALSE)</f>
        <v>Finance</v>
      </c>
      <c r="D128">
        <f ca="1">VLOOKUP($B128, [1]Sheet1!$A:$F, 3, FALSE) * (RANDBETWEEN(10,25)/100)</f>
        <v>334152000000</v>
      </c>
      <c r="E128">
        <f t="shared" ca="1" si="9"/>
        <v>-334152000000</v>
      </c>
      <c r="F128">
        <f ca="1">VLOOKUP($B128, [1]Sheet1!$A:$F, 4, FALSE) * (RANDBETWEEN(40,70)/100)</f>
        <v>667680000000</v>
      </c>
      <c r="G128">
        <f ca="1">VLOOKUP($B128, [1]Sheet1!$A:$F, 5, FALSE) * (RANDBETWEEN(60,100)/100)</f>
        <v>112350400000</v>
      </c>
      <c r="H128">
        <f t="shared" ca="1" si="16"/>
        <v>133696976000</v>
      </c>
      <c r="I128">
        <f t="shared" ca="1" si="10"/>
        <v>5</v>
      </c>
      <c r="J128">
        <f t="shared" ca="1" si="11"/>
        <v>0.1</v>
      </c>
      <c r="K128">
        <f t="shared" ca="1" si="12"/>
        <v>466129905334.33496</v>
      </c>
      <c r="L128" s="4">
        <f t="shared" ca="1" si="13"/>
        <v>1.2294420631926224</v>
      </c>
      <c r="M128">
        <f t="shared" ca="1" si="14"/>
        <v>1</v>
      </c>
      <c r="N128" t="str">
        <f t="shared" ca="1" si="15"/>
        <v>Accept</v>
      </c>
    </row>
    <row r="129" spans="1:14" x14ac:dyDescent="0.3">
      <c r="A129" t="s">
        <v>139</v>
      </c>
      <c r="B129" t="str" cm="1">
        <f t="array" ref="B129">INDEX([1]Sheet1!$A$2:$A$26, INT((ROW()-5)/10)+1)</f>
        <v>SBI</v>
      </c>
      <c r="C129" t="str">
        <f>VLOOKUP(B129, [1]Sheet1!$A:$B, 2, FALSE)</f>
        <v>Finance</v>
      </c>
      <c r="D129">
        <f ca="1">VLOOKUP($B129, [1]Sheet1!$A:$F, 3, FALSE) * (RANDBETWEEN(10,25)/100)</f>
        <v>616896000000</v>
      </c>
      <c r="E129">
        <f t="shared" ca="1" si="9"/>
        <v>-616896000000</v>
      </c>
      <c r="F129">
        <f ca="1">VLOOKUP($B129, [1]Sheet1!$A:$F, 4, FALSE) * (RANDBETWEEN(40,70)/100)</f>
        <v>717756000000</v>
      </c>
      <c r="G129">
        <f ca="1">VLOOKUP($B129, [1]Sheet1!$A:$F, 5, FALSE) * (RANDBETWEEN(60,100)/100)</f>
        <v>94944000000</v>
      </c>
      <c r="H129">
        <f t="shared" ca="1" si="16"/>
        <v>106337280000.00002</v>
      </c>
      <c r="I129">
        <f t="shared" ca="1" si="10"/>
        <v>6</v>
      </c>
      <c r="J129">
        <f t="shared" ca="1" si="11"/>
        <v>0.1</v>
      </c>
      <c r="K129">
        <f t="shared" ca="1" si="12"/>
        <v>193968342599.54919</v>
      </c>
      <c r="L129" s="4">
        <f t="shared" ca="1" si="13"/>
        <v>0.36808973990789906</v>
      </c>
      <c r="M129">
        <f t="shared" ca="1" si="14"/>
        <v>1</v>
      </c>
      <c r="N129" t="str">
        <f t="shared" ca="1" si="15"/>
        <v>Accept</v>
      </c>
    </row>
    <row r="130" spans="1:14" x14ac:dyDescent="0.3">
      <c r="A130" t="s">
        <v>140</v>
      </c>
      <c r="B130" t="str" cm="1">
        <f t="array" ref="B130">INDEX([1]Sheet1!$A$2:$A$26, INT((ROW()-5)/10)+1)</f>
        <v>SBI</v>
      </c>
      <c r="C130" t="str">
        <f>VLOOKUP(B130, [1]Sheet1!$A:$B, 2, FALSE)</f>
        <v>Finance</v>
      </c>
      <c r="D130">
        <f ca="1">VLOOKUP($B130, [1]Sheet1!$A:$F, 3, FALSE) * (RANDBETWEEN(10,25)/100)</f>
        <v>411264000000</v>
      </c>
      <c r="E130">
        <f t="shared" ca="1" si="9"/>
        <v>-411264000000</v>
      </c>
      <c r="F130">
        <f ca="1">VLOOKUP($B130, [1]Sheet1!$A:$F, 4, FALSE) * (RANDBETWEEN(40,70)/100)</f>
        <v>984828000000</v>
      </c>
      <c r="G130">
        <f ca="1">VLOOKUP($B130, [1]Sheet1!$A:$F, 5, FALSE) * (RANDBETWEEN(60,100)/100)</f>
        <v>126592000000</v>
      </c>
      <c r="H130">
        <f t="shared" ca="1" si="16"/>
        <v>146846720000</v>
      </c>
      <c r="I130">
        <f t="shared" ca="1" si="10"/>
        <v>6</v>
      </c>
      <c r="J130">
        <f t="shared" ca="1" si="11"/>
        <v>0.1</v>
      </c>
      <c r="K130">
        <f t="shared" ca="1" si="12"/>
        <v>698983783621.33716</v>
      </c>
      <c r="L130" s="4">
        <f t="shared" ca="1" si="13"/>
        <v>1.5685932197819583</v>
      </c>
      <c r="M130">
        <f t="shared" ca="1" si="14"/>
        <v>1</v>
      </c>
      <c r="N130" t="str">
        <f t="shared" ca="1" si="15"/>
        <v>Accept</v>
      </c>
    </row>
    <row r="131" spans="1:14" x14ac:dyDescent="0.3">
      <c r="A131" t="s">
        <v>141</v>
      </c>
      <c r="B131" t="str" cm="1">
        <f t="array" ref="B131">INDEX([1]Sheet1!$A$2:$A$26, INT((ROW()-5)/10)+1)</f>
        <v>SBI</v>
      </c>
      <c r="C131" t="str">
        <f>VLOOKUP(B131, [1]Sheet1!$A:$B, 2, FALSE)</f>
        <v>Finance</v>
      </c>
      <c r="D131">
        <f ca="1">VLOOKUP($B131, [1]Sheet1!$A:$F, 3, FALSE) * (RANDBETWEEN(10,25)/100)</f>
        <v>282744000000</v>
      </c>
      <c r="E131">
        <f t="shared" ca="1" si="9"/>
        <v>-282744000000</v>
      </c>
      <c r="F131">
        <f ca="1">VLOOKUP($B131, [1]Sheet1!$A:$F, 4, FALSE) * (RANDBETWEEN(40,70)/100)</f>
        <v>1135056000000</v>
      </c>
      <c r="G131">
        <f ca="1">VLOOKUP($B131, [1]Sheet1!$A:$F, 5, FALSE) * (RANDBETWEEN(60,100)/100)</f>
        <v>143998400000</v>
      </c>
      <c r="H131">
        <f t="shared" ca="1" si="16"/>
        <v>162718191999.99997</v>
      </c>
      <c r="I131">
        <f t="shared" ca="1" si="10"/>
        <v>6</v>
      </c>
      <c r="J131">
        <f t="shared" ca="1" si="11"/>
        <v>0.1</v>
      </c>
      <c r="K131">
        <f t="shared" ca="1" si="12"/>
        <v>990384619083.39575</v>
      </c>
      <c r="L131" s="4">
        <f t="shared" ca="1" si="13"/>
        <v>3.1696720975259218</v>
      </c>
      <c r="M131">
        <f t="shared" ca="1" si="14"/>
        <v>1</v>
      </c>
      <c r="N131" t="str">
        <f t="shared" ca="1" si="15"/>
        <v>Accept</v>
      </c>
    </row>
    <row r="132" spans="1:14" x14ac:dyDescent="0.3">
      <c r="A132" t="s">
        <v>142</v>
      </c>
      <c r="B132" t="str" cm="1">
        <f t="array" ref="B132">INDEX([1]Sheet1!$A$2:$A$26, INT((ROW()-5)/10)+1)</f>
        <v>SBI</v>
      </c>
      <c r="C132" t="str">
        <f>VLOOKUP(B132, [1]Sheet1!$A:$B, 2, FALSE)</f>
        <v>Finance</v>
      </c>
      <c r="D132">
        <f ca="1">VLOOKUP($B132, [1]Sheet1!$A:$F, 3, FALSE) * (RANDBETWEEN(10,25)/100)</f>
        <v>488376000000</v>
      </c>
      <c r="E132">
        <f t="shared" ca="1" si="9"/>
        <v>-488376000000</v>
      </c>
      <c r="F132">
        <f ca="1">VLOOKUP($B132, [1]Sheet1!$A:$F, 4, FALSE) * (RANDBETWEEN(40,70)/100)</f>
        <v>1151748000000</v>
      </c>
      <c r="G132">
        <f ca="1">VLOOKUP($B132, [1]Sheet1!$A:$F, 5, FALSE) * (RANDBETWEEN(60,100)/100)</f>
        <v>137668800000</v>
      </c>
      <c r="H132">
        <f t="shared" ca="1" si="16"/>
        <v>156942432000.00003</v>
      </c>
      <c r="I132">
        <f t="shared" ca="1" si="10"/>
        <v>4</v>
      </c>
      <c r="J132">
        <f t="shared" ca="1" si="11"/>
        <v>0.1</v>
      </c>
      <c r="K132">
        <f t="shared" ca="1" si="12"/>
        <v>790356676183.32056</v>
      </c>
      <c r="L132" s="4">
        <f t="shared" ca="1" si="13"/>
        <v>1.5207264042715138</v>
      </c>
      <c r="M132">
        <f t="shared" ca="1" si="14"/>
        <v>1</v>
      </c>
      <c r="N132" t="str">
        <f t="shared" ca="1" si="15"/>
        <v>Accept</v>
      </c>
    </row>
    <row r="133" spans="1:14" x14ac:dyDescent="0.3">
      <c r="A133" t="s">
        <v>143</v>
      </c>
      <c r="B133" t="str" cm="1">
        <f t="array" ref="B133">INDEX([1]Sheet1!$A$2:$A$26, INT((ROW()-5)/10)+1)</f>
        <v>SBI</v>
      </c>
      <c r="C133" t="str">
        <f>VLOOKUP(B133, [1]Sheet1!$A:$B, 2, FALSE)</f>
        <v>Finance</v>
      </c>
      <c r="D133">
        <f ca="1">VLOOKUP($B133, [1]Sheet1!$A:$F, 3, FALSE) * (RANDBETWEEN(10,25)/100)</f>
        <v>616896000000</v>
      </c>
      <c r="E133">
        <f t="shared" ca="1" si="9"/>
        <v>-616896000000</v>
      </c>
      <c r="F133">
        <f ca="1">VLOOKUP($B133, [1]Sheet1!$A:$F, 4, FALSE) * (RANDBETWEEN(40,70)/100)</f>
        <v>1034904000000</v>
      </c>
      <c r="G133">
        <f ca="1">VLOOKUP($B133, [1]Sheet1!$A:$F, 5, FALSE) * (RANDBETWEEN(60,100)/100)</f>
        <v>98108800000</v>
      </c>
      <c r="H133">
        <f t="shared" ca="1" si="16"/>
        <v>106938592000.00002</v>
      </c>
      <c r="I133">
        <f t="shared" ca="1" si="10"/>
        <v>6</v>
      </c>
      <c r="J133">
        <f t="shared" ca="1" si="11"/>
        <v>0.1</v>
      </c>
      <c r="K133">
        <f t="shared" ca="1" si="12"/>
        <v>485352018031.55518</v>
      </c>
      <c r="L133" s="4">
        <f t="shared" ca="1" si="13"/>
        <v>0.81757153438438079</v>
      </c>
      <c r="M133">
        <f t="shared" ca="1" si="14"/>
        <v>1</v>
      </c>
      <c r="N133" t="str">
        <f t="shared" ca="1" si="15"/>
        <v>Accept</v>
      </c>
    </row>
    <row r="134" spans="1:14" x14ac:dyDescent="0.3">
      <c r="A134" t="s">
        <v>144</v>
      </c>
      <c r="B134" t="str" cm="1">
        <f t="array" ref="B134">INDEX([1]Sheet1!$A$2:$A$26, INT((ROW()-5)/10)+1)</f>
        <v>SBI</v>
      </c>
      <c r="C134" t="str">
        <f>VLOOKUP(B134, [1]Sheet1!$A:$B, 2, FALSE)</f>
        <v>Finance</v>
      </c>
      <c r="D134">
        <f ca="1">VLOOKUP($B134, [1]Sheet1!$A:$F, 3, FALSE) * (RANDBETWEEN(10,25)/100)</f>
        <v>591192000000</v>
      </c>
      <c r="E134">
        <f t="shared" ref="E134:E197" ca="1" si="17">-D134</f>
        <v>-591192000000</v>
      </c>
      <c r="F134">
        <f ca="1">VLOOKUP($B134, [1]Sheet1!$A:$F, 4, FALSE) * (RANDBETWEEN(40,70)/100)</f>
        <v>1051596000000</v>
      </c>
      <c r="G134">
        <f ca="1">VLOOKUP($B134, [1]Sheet1!$A:$F, 5, FALSE) * (RANDBETWEEN(60,100)/100)</f>
        <v>131339200000</v>
      </c>
      <c r="H134">
        <f t="shared" ca="1" si="16"/>
        <v>140532944000</v>
      </c>
      <c r="I134">
        <f t="shared" ref="I134:I197" ca="1" si="18">IF(C134="tech", RANDBETWEEN(2,4),
 IF(C134="energy", RANDBETWEEN(5,8),
 IF(C134="finance", RANDBETWEEN(3,6),
 IF(C134="FMCG", RANDBETWEEN(2,5),
 RANDBETWEEN(4,7)))))</f>
        <v>5</v>
      </c>
      <c r="J134">
        <f t="shared" ref="J134:J197" ca="1" si="19">IFERROR(
IF(I134&lt;=3,0.08,
IF(I134&lt;=6,0.1,
IF(I134&lt;=8,0.12,
0.15))),
"")</f>
        <v>0.1</v>
      </c>
      <c r="K134">
        <f t="shared" ref="K134:K140" ca="1" si="20">F134/(1+J134)^1 + G134/(1+J134)^2 + H134/(1+J134)^3 - D134</f>
        <v>578933637866.26587</v>
      </c>
      <c r="L134" s="4">
        <f t="shared" ref="L134:L197" ca="1" si="21">IFERROR(IRR(E134:H134), -1)</f>
        <v>0.95464723974346</v>
      </c>
      <c r="M134">
        <f t="shared" ref="M134:M197" ca="1" si="22">IF(F134&gt;=D134,1,
IF(F134+G134&gt;=D134,1+(D134-F134)/G134,
IF(F134+G134+H134&gt;=D134,2+(D134-F134-G134)/H134,
"&gt;3")))</f>
        <v>1</v>
      </c>
      <c r="N134" t="str">
        <f t="shared" ref="N134:N197" ca="1" si="23">IF(AND(K134&gt;0,L134&gt;J134),"Accept","Reject")</f>
        <v>Accept</v>
      </c>
    </row>
    <row r="135" spans="1:14" x14ac:dyDescent="0.3">
      <c r="A135" t="s">
        <v>145</v>
      </c>
      <c r="B135" t="str" cm="1">
        <f t="array" ref="B135">INDEX([1]Sheet1!$A$2:$A$26, INT((ROW()-5)/10)+1)</f>
        <v>Axis bank</v>
      </c>
      <c r="C135" t="str">
        <f>VLOOKUP(B135, [1]Sheet1!$A:$B, 2, FALSE)</f>
        <v>Finance</v>
      </c>
      <c r="D135">
        <f ca="1">VLOOKUP($B135, [1]Sheet1!$A:$F, 3, FALSE) * (RANDBETWEEN(10,25)/100)</f>
        <v>281232000000</v>
      </c>
      <c r="E135">
        <f t="shared" ca="1" si="17"/>
        <v>-281232000000</v>
      </c>
      <c r="F135">
        <f ca="1">VLOOKUP($B135, [1]Sheet1!$A:$F, 4, FALSE) * (RANDBETWEEN(40,70)/100)</f>
        <v>1151748000000</v>
      </c>
      <c r="G135">
        <f ca="1">VLOOKUP($B135, [1]Sheet1!$A:$F, 5, FALSE) * (RANDBETWEEN(60,100)/100)</f>
        <v>104576000000</v>
      </c>
      <c r="H135">
        <f t="shared" ca="1" si="16"/>
        <v>121308159999.99998</v>
      </c>
      <c r="I135">
        <f t="shared" ca="1" si="18"/>
        <v>5</v>
      </c>
      <c r="J135">
        <f t="shared" ca="1" si="19"/>
        <v>0.1</v>
      </c>
      <c r="K135">
        <f t="shared" ca="1" si="12"/>
        <v>943378698722.76465</v>
      </c>
      <c r="L135" s="4">
        <f t="shared" ca="1" si="21"/>
        <v>3.2080902632270423</v>
      </c>
      <c r="M135">
        <f t="shared" ca="1" si="22"/>
        <v>1</v>
      </c>
      <c r="N135" t="str">
        <f t="shared" ca="1" si="23"/>
        <v>Accept</v>
      </c>
    </row>
    <row r="136" spans="1:14" x14ac:dyDescent="0.3">
      <c r="A136" t="s">
        <v>146</v>
      </c>
      <c r="B136" t="str" cm="1">
        <f t="array" ref="B136">INDEX([1]Sheet1!$A$2:$A$26, INT((ROW()-5)/10)+1)</f>
        <v>Axis bank</v>
      </c>
      <c r="C136" t="str">
        <f>VLOOKUP(B136, [1]Sheet1!$A:$B, 2, FALSE)</f>
        <v>Finance</v>
      </c>
      <c r="D136">
        <f ca="1">VLOOKUP($B136, [1]Sheet1!$A:$F, 3, FALSE) * (RANDBETWEEN(10,25)/100)</f>
        <v>328104000000.00006</v>
      </c>
      <c r="E136">
        <f t="shared" ca="1" si="17"/>
        <v>-328104000000.00006</v>
      </c>
      <c r="F136">
        <f ca="1">VLOOKUP($B136, [1]Sheet1!$A:$F, 4, FALSE) * (RANDBETWEEN(40,70)/100)</f>
        <v>684372000000</v>
      </c>
      <c r="G136">
        <f ca="1">VLOOKUP($B136, [1]Sheet1!$A:$F, 5, FALSE) * (RANDBETWEEN(60,100)/100)</f>
        <v>104576000000</v>
      </c>
      <c r="H136">
        <f t="shared" ca="1" si="16"/>
        <v>123399680000</v>
      </c>
      <c r="I136">
        <f t="shared" ca="1" si="18"/>
        <v>4</v>
      </c>
      <c r="J136">
        <f t="shared" ca="1" si="19"/>
        <v>0.1</v>
      </c>
      <c r="K136">
        <f t="shared" ref="K136:K199" ca="1" si="24">F136/(1+J136)^1 + G136/(1+J136)^2 + H136/(1+J136)^3 - D136</f>
        <v>473190815927.87347</v>
      </c>
      <c r="L136" s="4">
        <f t="shared" ca="1" si="21"/>
        <v>1.2960015622295145</v>
      </c>
      <c r="M136">
        <f t="shared" ca="1" si="22"/>
        <v>1</v>
      </c>
      <c r="N136" t="str">
        <f t="shared" ca="1" si="23"/>
        <v>Accept</v>
      </c>
    </row>
    <row r="137" spans="1:14" x14ac:dyDescent="0.3">
      <c r="A137" t="s">
        <v>147</v>
      </c>
      <c r="B137" t="str" cm="1">
        <f t="array" ref="B137">INDEX([1]Sheet1!$A$2:$A$26, INT((ROW()-5)/10)+1)</f>
        <v>Axis bank</v>
      </c>
      <c r="C137" t="str">
        <f>VLOOKUP(B137, [1]Sheet1!$A:$B, 2, FALSE)</f>
        <v>Finance</v>
      </c>
      <c r="D137">
        <f ca="1">VLOOKUP($B137, [1]Sheet1!$A:$F, 3, FALSE) * (RANDBETWEEN(10,25)/100)</f>
        <v>304668000000</v>
      </c>
      <c r="E137">
        <f t="shared" ca="1" si="17"/>
        <v>-304668000000</v>
      </c>
      <c r="F137">
        <f ca="1">VLOOKUP($B137, [1]Sheet1!$A:$F, 4, FALSE) * (RANDBETWEEN(40,70)/100)</f>
        <v>1018212000000</v>
      </c>
      <c r="G137">
        <f ca="1">VLOOKUP($B137, [1]Sheet1!$A:$F, 5, FALSE) * (RANDBETWEEN(60,100)/100)</f>
        <v>122550000000</v>
      </c>
      <c r="H137">
        <f t="shared" ca="1" si="16"/>
        <v>134805000000.00002</v>
      </c>
      <c r="I137">
        <f t="shared" ca="1" si="18"/>
        <v>3</v>
      </c>
      <c r="J137">
        <f t="shared" ca="1" si="19"/>
        <v>0.08</v>
      </c>
      <c r="K137">
        <f t="shared" ca="1" si="24"/>
        <v>850200316567.59619</v>
      </c>
      <c r="L137" s="4">
        <f t="shared" ca="1" si="21"/>
        <v>2.4934353742555126</v>
      </c>
      <c r="M137">
        <f t="shared" ca="1" si="22"/>
        <v>1</v>
      </c>
      <c r="N137" t="str">
        <f t="shared" ca="1" si="23"/>
        <v>Accept</v>
      </c>
    </row>
    <row r="138" spans="1:14" x14ac:dyDescent="0.3">
      <c r="A138" t="s">
        <v>148</v>
      </c>
      <c r="B138" t="str" cm="1">
        <f t="array" ref="B138">INDEX([1]Sheet1!$A$2:$A$26, INT((ROW()-5)/10)+1)</f>
        <v>Axis bank</v>
      </c>
      <c r="C138" t="str">
        <f>VLOOKUP(B138, [1]Sheet1!$A:$B, 2, FALSE)</f>
        <v>Finance</v>
      </c>
      <c r="D138">
        <f ca="1">VLOOKUP($B138, [1]Sheet1!$A:$F, 3, FALSE) * (RANDBETWEEN(10,25)/100)</f>
        <v>445284000000</v>
      </c>
      <c r="E138">
        <f t="shared" ca="1" si="17"/>
        <v>-445284000000</v>
      </c>
      <c r="F138">
        <f ca="1">VLOOKUP($B138, [1]Sheet1!$A:$F, 4, FALSE) * (RANDBETWEEN(40,70)/100)</f>
        <v>1135056000000</v>
      </c>
      <c r="G138">
        <f ca="1">VLOOKUP($B138, [1]Sheet1!$A:$F, 5, FALSE) * (RANDBETWEEN(60,100)/100)</f>
        <v>124184000000</v>
      </c>
      <c r="H138">
        <f t="shared" ca="1" si="16"/>
        <v>140327920000</v>
      </c>
      <c r="I138">
        <f t="shared" ca="1" si="18"/>
        <v>5</v>
      </c>
      <c r="J138">
        <f t="shared" ca="1" si="19"/>
        <v>0.1</v>
      </c>
      <c r="K138">
        <f t="shared" ca="1" si="24"/>
        <v>794646939143.50098</v>
      </c>
      <c r="L138" s="4">
        <f t="shared" ca="1" si="21"/>
        <v>1.6958724221478634</v>
      </c>
      <c r="M138">
        <f t="shared" ca="1" si="22"/>
        <v>1</v>
      </c>
      <c r="N138" t="str">
        <f t="shared" ca="1" si="23"/>
        <v>Accept</v>
      </c>
    </row>
    <row r="139" spans="1:14" x14ac:dyDescent="0.3">
      <c r="A139" t="s">
        <v>149</v>
      </c>
      <c r="B139" t="str" cm="1">
        <f t="array" ref="B139">INDEX([1]Sheet1!$A$2:$A$26, INT((ROW()-5)/10)+1)</f>
        <v>Axis bank</v>
      </c>
      <c r="C139" t="str">
        <f>VLOOKUP(B139, [1]Sheet1!$A:$B, 2, FALSE)</f>
        <v>Finance</v>
      </c>
      <c r="D139">
        <f ca="1">VLOOKUP($B139, [1]Sheet1!$A:$F, 3, FALSE) * (RANDBETWEEN(10,25)/100)</f>
        <v>351540000000</v>
      </c>
      <c r="E139">
        <f t="shared" ca="1" si="17"/>
        <v>-351540000000</v>
      </c>
      <c r="F139">
        <f ca="1">VLOOKUP($B139, [1]Sheet1!$A:$F, 4, FALSE) * (RANDBETWEEN(40,70)/100)</f>
        <v>717756000000</v>
      </c>
      <c r="G139">
        <f ca="1">VLOOKUP($B139, [1]Sheet1!$A:$F, 5, FALSE) * (RANDBETWEEN(60,100)/100)</f>
        <v>109478000000</v>
      </c>
      <c r="H139">
        <f t="shared" ca="1" si="16"/>
        <v>118236240000.00002</v>
      </c>
      <c r="I139">
        <f t="shared" ca="1" si="18"/>
        <v>6</v>
      </c>
      <c r="J139">
        <f t="shared" ca="1" si="19"/>
        <v>0.1</v>
      </c>
      <c r="K139">
        <f t="shared" ca="1" si="24"/>
        <v>480275777610.81885</v>
      </c>
      <c r="L139" s="4">
        <f t="shared" ca="1" si="21"/>
        <v>1.2469624014282492</v>
      </c>
      <c r="M139">
        <f t="shared" ca="1" si="22"/>
        <v>1</v>
      </c>
      <c r="N139" t="str">
        <f t="shared" ca="1" si="23"/>
        <v>Accept</v>
      </c>
    </row>
    <row r="140" spans="1:14" x14ac:dyDescent="0.3">
      <c r="A140" t="s">
        <v>150</v>
      </c>
      <c r="B140" t="str" cm="1">
        <f t="array" ref="B140">INDEX([1]Sheet1!$A$2:$A$26, INT((ROW()-5)/10)+1)</f>
        <v>Axis bank</v>
      </c>
      <c r="C140" t="str">
        <f>VLOOKUP(B140, [1]Sheet1!$A:$B, 2, FALSE)</f>
        <v>Finance</v>
      </c>
      <c r="D140">
        <f ca="1">VLOOKUP($B140, [1]Sheet1!$A:$F, 3, FALSE) * (RANDBETWEEN(10,25)/100)</f>
        <v>398412000000</v>
      </c>
      <c r="E140">
        <f t="shared" ca="1" si="17"/>
        <v>-398412000000</v>
      </c>
      <c r="F140">
        <f ca="1">VLOOKUP($B140, [1]Sheet1!$A:$F, 4, FALSE) * (RANDBETWEEN(40,70)/100)</f>
        <v>1001520000000</v>
      </c>
      <c r="G140">
        <f ca="1">VLOOKUP($B140, [1]Sheet1!$A:$F, 5, FALSE) * (RANDBETWEEN(60,100)/100)</f>
        <v>130720000000</v>
      </c>
      <c r="H140">
        <f t="shared" ca="1" si="16"/>
        <v>146406400000</v>
      </c>
      <c r="I140">
        <f t="shared" ca="1" si="18"/>
        <v>6</v>
      </c>
      <c r="J140">
        <f t="shared" ca="1" si="19"/>
        <v>0.1</v>
      </c>
      <c r="K140">
        <f t="shared" ca="1" si="24"/>
        <v>730091080390.68359</v>
      </c>
      <c r="L140" s="4">
        <f t="shared" ca="1" si="21"/>
        <v>1.6868007218065375</v>
      </c>
      <c r="M140">
        <f t="shared" ca="1" si="22"/>
        <v>1</v>
      </c>
      <c r="N140" t="str">
        <f t="shared" ca="1" si="23"/>
        <v>Accept</v>
      </c>
    </row>
    <row r="141" spans="1:14" x14ac:dyDescent="0.3">
      <c r="A141" t="s">
        <v>151</v>
      </c>
      <c r="B141" t="str" cm="1">
        <f t="array" ref="B141">INDEX([1]Sheet1!$A$2:$A$26, INT((ROW()-5)/10)+1)</f>
        <v>Axis bank</v>
      </c>
      <c r="C141" t="str">
        <f>VLOOKUP(B141, [1]Sheet1!$A:$B, 2, FALSE)</f>
        <v>Finance</v>
      </c>
      <c r="D141">
        <f ca="1">VLOOKUP($B141, [1]Sheet1!$A:$F, 3, FALSE) * (RANDBETWEEN(10,25)/100)</f>
        <v>585900000000</v>
      </c>
      <c r="E141">
        <f t="shared" ca="1" si="17"/>
        <v>-585900000000</v>
      </c>
      <c r="F141">
        <f ca="1">VLOOKUP($B141, [1]Sheet1!$A:$F, 4, FALSE) * (RANDBETWEEN(40,70)/100)</f>
        <v>1051596000000</v>
      </c>
      <c r="G141">
        <f ca="1">VLOOKUP($B141, [1]Sheet1!$A:$F, 5, FALSE) * (RANDBETWEEN(60,100)/100)</f>
        <v>98040000000</v>
      </c>
      <c r="H141">
        <f t="shared" ca="1" si="16"/>
        <v>106863600000.00002</v>
      </c>
      <c r="I141">
        <f t="shared" ca="1" si="18"/>
        <v>4</v>
      </c>
      <c r="J141">
        <f t="shared" ca="1" si="19"/>
        <v>0.1</v>
      </c>
      <c r="K141">
        <f t="shared" ca="1" si="24"/>
        <v>531409361382.41895</v>
      </c>
      <c r="L141" s="4">
        <f t="shared" ca="1" si="21"/>
        <v>0.93046097102538816</v>
      </c>
      <c r="M141">
        <f t="shared" ca="1" si="22"/>
        <v>1</v>
      </c>
      <c r="N141" t="str">
        <f t="shared" ca="1" si="23"/>
        <v>Accept</v>
      </c>
    </row>
    <row r="142" spans="1:14" x14ac:dyDescent="0.3">
      <c r="A142" t="s">
        <v>152</v>
      </c>
      <c r="B142" t="str" cm="1">
        <f t="array" ref="B142">INDEX([1]Sheet1!$A$2:$A$26, INT((ROW()-5)/10)+1)</f>
        <v>Axis bank</v>
      </c>
      <c r="C142" t="str">
        <f>VLOOKUP(B142, [1]Sheet1!$A:$B, 2, FALSE)</f>
        <v>Finance</v>
      </c>
      <c r="D142">
        <f ca="1">VLOOKUP($B142, [1]Sheet1!$A:$F, 3, FALSE) * (RANDBETWEEN(10,25)/100)</f>
        <v>445284000000</v>
      </c>
      <c r="E142">
        <f t="shared" ca="1" si="17"/>
        <v>-445284000000</v>
      </c>
      <c r="F142">
        <f ca="1">VLOOKUP($B142, [1]Sheet1!$A:$F, 4, FALSE) * (RANDBETWEEN(40,70)/100)</f>
        <v>1101672000000</v>
      </c>
      <c r="G142">
        <f ca="1">VLOOKUP($B142, [1]Sheet1!$A:$F, 5, FALSE) * (RANDBETWEEN(60,100)/100)</f>
        <v>142158000000</v>
      </c>
      <c r="H142">
        <f t="shared" ca="1" si="16"/>
        <v>157795380000</v>
      </c>
      <c r="I142">
        <f t="shared" ca="1" si="18"/>
        <v>4</v>
      </c>
      <c r="J142">
        <f t="shared" ca="1" si="19"/>
        <v>0.1</v>
      </c>
      <c r="K142">
        <f t="shared" ca="1" si="24"/>
        <v>792275954921.11157</v>
      </c>
      <c r="L142" s="4">
        <f t="shared" ca="1" si="21"/>
        <v>1.6454076665269382</v>
      </c>
      <c r="M142">
        <f t="shared" ca="1" si="22"/>
        <v>1</v>
      </c>
      <c r="N142" t="str">
        <f t="shared" ca="1" si="23"/>
        <v>Accept</v>
      </c>
    </row>
    <row r="143" spans="1:14" x14ac:dyDescent="0.3">
      <c r="A143" t="s">
        <v>153</v>
      </c>
      <c r="B143" t="str" cm="1">
        <f t="array" ref="B143">INDEX([1]Sheet1!$A$2:$A$26, INT((ROW()-5)/10)+1)</f>
        <v>Axis bank</v>
      </c>
      <c r="C143" t="str">
        <f>VLOOKUP(B143, [1]Sheet1!$A:$B, 2, FALSE)</f>
        <v>Finance</v>
      </c>
      <c r="D143">
        <f ca="1">VLOOKUP($B143, [1]Sheet1!$A:$F, 3, FALSE) * (RANDBETWEEN(10,25)/100)</f>
        <v>515592000000</v>
      </c>
      <c r="E143">
        <f t="shared" ca="1" si="17"/>
        <v>-515592000000</v>
      </c>
      <c r="F143">
        <f ca="1">VLOOKUP($B143, [1]Sheet1!$A:$F, 4, FALSE) * (RANDBETWEEN(40,70)/100)</f>
        <v>867984000000</v>
      </c>
      <c r="G143">
        <f ca="1">VLOOKUP($B143, [1]Sheet1!$A:$F, 5, FALSE) * (RANDBETWEEN(60,100)/100)</f>
        <v>148694000000</v>
      </c>
      <c r="H143">
        <f t="shared" ca="1" si="16"/>
        <v>156128700000</v>
      </c>
      <c r="I143">
        <f t="shared" ca="1" si="18"/>
        <v>5</v>
      </c>
      <c r="J143">
        <f t="shared" ca="1" si="19"/>
        <v>0.1</v>
      </c>
      <c r="K143">
        <f t="shared" ca="1" si="24"/>
        <v>513673770097.67078</v>
      </c>
      <c r="L143" s="4">
        <f t="shared" ca="1" si="21"/>
        <v>0.91640941835160583</v>
      </c>
      <c r="M143">
        <f t="shared" ca="1" si="22"/>
        <v>1</v>
      </c>
      <c r="N143" t="str">
        <f t="shared" ca="1" si="23"/>
        <v>Accept</v>
      </c>
    </row>
    <row r="144" spans="1:14" x14ac:dyDescent="0.3">
      <c r="A144" t="s">
        <v>154</v>
      </c>
      <c r="B144" t="str" cm="1">
        <f t="array" ref="B144">INDEX([1]Sheet1!$A$2:$A$26, INT((ROW()-5)/10)+1)</f>
        <v>Axis bank</v>
      </c>
      <c r="C144" t="str">
        <f>VLOOKUP(B144, [1]Sheet1!$A:$B, 2, FALSE)</f>
        <v>Finance</v>
      </c>
      <c r="D144">
        <f ca="1">VLOOKUP($B144, [1]Sheet1!$A:$F, 3, FALSE) * (RANDBETWEEN(10,25)/100)</f>
        <v>562464000000</v>
      </c>
      <c r="E144">
        <f t="shared" ca="1" si="17"/>
        <v>-562464000000</v>
      </c>
      <c r="F144">
        <f ca="1">VLOOKUP($B144, [1]Sheet1!$A:$F, 4, FALSE) * (RANDBETWEEN(40,70)/100)</f>
        <v>1118364000000</v>
      </c>
      <c r="G144">
        <f ca="1">VLOOKUP($B144, [1]Sheet1!$A:$F, 5, FALSE) * (RANDBETWEEN(60,100)/100)</f>
        <v>138890000000</v>
      </c>
      <c r="H144">
        <f t="shared" ca="1" si="16"/>
        <v>158334600000.00003</v>
      </c>
      <c r="I144">
        <f t="shared" ca="1" si="18"/>
        <v>5</v>
      </c>
      <c r="J144">
        <f t="shared" ca="1" si="19"/>
        <v>0.1</v>
      </c>
      <c r="K144">
        <f t="shared" ca="1" si="24"/>
        <v>687974797896.3186</v>
      </c>
      <c r="L144" s="4">
        <f t="shared" ca="1" si="21"/>
        <v>1.1626930620246672</v>
      </c>
      <c r="M144">
        <f t="shared" ca="1" si="22"/>
        <v>1</v>
      </c>
      <c r="N144" t="str">
        <f t="shared" ca="1" si="23"/>
        <v>Accept</v>
      </c>
    </row>
    <row r="145" spans="1:14" x14ac:dyDescent="0.3">
      <c r="A145" t="s">
        <v>155</v>
      </c>
      <c r="B145" t="str" cm="1">
        <f t="array" ref="B145">INDEX([1]Sheet1!$A$2:$A$26, INT((ROW()-5)/10)+1)</f>
        <v>Kotak</v>
      </c>
      <c r="C145" t="str">
        <f>VLOOKUP(B145, [1]Sheet1!$A:$B, 2, FALSE)</f>
        <v>Finance</v>
      </c>
      <c r="D145">
        <f ca="1">VLOOKUP($B145, [1]Sheet1!$A:$F, 3, FALSE) * (RANDBETWEEN(10,25)/100)</f>
        <v>593208000000</v>
      </c>
      <c r="E145">
        <f t="shared" ca="1" si="17"/>
        <v>-593208000000</v>
      </c>
      <c r="F145">
        <f ca="1">VLOOKUP($B145, [1]Sheet1!$A:$F, 4, FALSE) * (RANDBETWEEN(40,70)/100)</f>
        <v>882336000000.00012</v>
      </c>
      <c r="G145">
        <f ca="1">VLOOKUP($B145, [1]Sheet1!$A:$F, 5, FALSE) * (RANDBETWEEN(60,100)/100)</f>
        <v>171845200000</v>
      </c>
      <c r="H145">
        <f t="shared" ca="1" si="16"/>
        <v>192466624000.00003</v>
      </c>
      <c r="I145">
        <f t="shared" ca="1" si="18"/>
        <v>4</v>
      </c>
      <c r="J145">
        <f t="shared" ca="1" si="19"/>
        <v>0.1</v>
      </c>
      <c r="K145">
        <f t="shared" ca="1" si="24"/>
        <v>495539486100.67615</v>
      </c>
      <c r="L145" s="4">
        <f t="shared" ca="1" si="21"/>
        <v>0.75730848503010795</v>
      </c>
      <c r="M145">
        <f t="shared" ca="1" si="22"/>
        <v>1</v>
      </c>
      <c r="N145" t="str">
        <f t="shared" ca="1" si="23"/>
        <v>Accept</v>
      </c>
    </row>
    <row r="146" spans="1:14" x14ac:dyDescent="0.3">
      <c r="A146" t="s">
        <v>156</v>
      </c>
      <c r="B146" t="str" cm="1">
        <f t="array" ref="B146">INDEX([1]Sheet1!$A$2:$A$26, INT((ROW()-5)/10)+1)</f>
        <v>Kotak</v>
      </c>
      <c r="C146" t="str">
        <f>VLOOKUP(B146, [1]Sheet1!$A:$B, 2, FALSE)</f>
        <v>Finance</v>
      </c>
      <c r="D146">
        <f ca="1">VLOOKUP($B146, [1]Sheet1!$A:$F, 3, FALSE) * (RANDBETWEEN(10,25)/100)</f>
        <v>674100000000</v>
      </c>
      <c r="E146">
        <f t="shared" ca="1" si="17"/>
        <v>-674100000000</v>
      </c>
      <c r="F146">
        <f ca="1">VLOOKUP($B146, [1]Sheet1!$A:$F, 4, FALSE) * (RANDBETWEEN(40,70)/100)</f>
        <v>913847999999.99988</v>
      </c>
      <c r="G146">
        <f ca="1">VLOOKUP($B146, [1]Sheet1!$A:$F, 5, FALSE) * (RANDBETWEEN(60,100)/100)</f>
        <v>129326800000</v>
      </c>
      <c r="H146">
        <f t="shared" ca="1" si="16"/>
        <v>143552748000</v>
      </c>
      <c r="I146">
        <f t="shared" ca="1" si="18"/>
        <v>4</v>
      </c>
      <c r="J146">
        <f t="shared" ca="1" si="19"/>
        <v>0.1</v>
      </c>
      <c r="K146">
        <f t="shared" ca="1" si="24"/>
        <v>371405866265.96533</v>
      </c>
      <c r="L146" s="4">
        <f t="shared" ca="1" si="21"/>
        <v>0.56516205218416404</v>
      </c>
      <c r="M146">
        <f t="shared" ca="1" si="22"/>
        <v>1</v>
      </c>
      <c r="N146" t="str">
        <f t="shared" ca="1" si="23"/>
        <v>Accept</v>
      </c>
    </row>
    <row r="147" spans="1:14" x14ac:dyDescent="0.3">
      <c r="A147" t="s">
        <v>157</v>
      </c>
      <c r="B147" t="str" cm="1">
        <f t="array" ref="B147">INDEX([1]Sheet1!$A$2:$A$26, INT((ROW()-5)/10)+1)</f>
        <v>Kotak</v>
      </c>
      <c r="C147" t="str">
        <f>VLOOKUP(B147, [1]Sheet1!$A:$B, 2, FALSE)</f>
        <v>Finance</v>
      </c>
      <c r="D147">
        <f ca="1">VLOOKUP($B147, [1]Sheet1!$A:$F, 3, FALSE) * (RANDBETWEEN(10,25)/100)</f>
        <v>674100000000</v>
      </c>
      <c r="E147">
        <f t="shared" ca="1" si="17"/>
        <v>-674100000000</v>
      </c>
      <c r="F147">
        <f ca="1">VLOOKUP($B147, [1]Sheet1!$A:$F, 4, FALSE) * (RANDBETWEEN(40,70)/100)</f>
        <v>835068000000</v>
      </c>
      <c r="G147">
        <f ca="1">VLOOKUP($B147, [1]Sheet1!$A:$F, 5, FALSE) * (RANDBETWEEN(60,100)/100)</f>
        <v>111610800000</v>
      </c>
      <c r="H147">
        <f t="shared" ca="1" si="16"/>
        <v>126120203999.99998</v>
      </c>
      <c r="I147">
        <f t="shared" ca="1" si="18"/>
        <v>4</v>
      </c>
      <c r="J147">
        <f t="shared" ca="1" si="19"/>
        <v>0.1</v>
      </c>
      <c r="K147">
        <f t="shared" ca="1" si="24"/>
        <v>272049033809.16577</v>
      </c>
      <c r="L147" s="4">
        <f t="shared" ca="1" si="21"/>
        <v>0.44331700511281258</v>
      </c>
      <c r="M147">
        <f t="shared" ca="1" si="22"/>
        <v>1</v>
      </c>
      <c r="N147" t="str">
        <f t="shared" ca="1" si="23"/>
        <v>Accept</v>
      </c>
    </row>
    <row r="148" spans="1:14" x14ac:dyDescent="0.3">
      <c r="A148" t="s">
        <v>158</v>
      </c>
      <c r="B148" t="str" cm="1">
        <f t="array" ref="B148">INDEX([1]Sheet1!$A$2:$A$26, INT((ROW()-5)/10)+1)</f>
        <v>Kotak</v>
      </c>
      <c r="C148" t="str">
        <f>VLOOKUP(B148, [1]Sheet1!$A:$B, 2, FALSE)</f>
        <v>Finance</v>
      </c>
      <c r="D148">
        <f ca="1">VLOOKUP($B148, [1]Sheet1!$A:$F, 3, FALSE) * (RANDBETWEEN(10,25)/100)</f>
        <v>566244000000</v>
      </c>
      <c r="E148">
        <f t="shared" ca="1" si="17"/>
        <v>-566244000000</v>
      </c>
      <c r="F148">
        <f ca="1">VLOOKUP($B148, [1]Sheet1!$A:$F, 4, FALSE) * (RANDBETWEEN(40,70)/100)</f>
        <v>693264000000</v>
      </c>
      <c r="G148">
        <f ca="1">VLOOKUP($B148, [1]Sheet1!$A:$F, 5, FALSE) * (RANDBETWEEN(60,100)/100)</f>
        <v>138184800000</v>
      </c>
      <c r="H148">
        <f t="shared" ca="1" si="16"/>
        <v>149239584000</v>
      </c>
      <c r="I148">
        <f t="shared" ca="1" si="18"/>
        <v>6</v>
      </c>
      <c r="J148">
        <f t="shared" ca="1" si="19"/>
        <v>0.1</v>
      </c>
      <c r="K148">
        <f t="shared" ca="1" si="24"/>
        <v>290324222389.18103</v>
      </c>
      <c r="L148" s="4">
        <f t="shared" ca="1" si="21"/>
        <v>0.50328348357249442</v>
      </c>
      <c r="M148">
        <f t="shared" ca="1" si="22"/>
        <v>1</v>
      </c>
      <c r="N148" t="str">
        <f t="shared" ca="1" si="23"/>
        <v>Accept</v>
      </c>
    </row>
    <row r="149" spans="1:14" x14ac:dyDescent="0.3">
      <c r="A149" t="s">
        <v>159</v>
      </c>
      <c r="B149" t="str" cm="1">
        <f t="array" ref="B149">INDEX([1]Sheet1!$A$2:$A$26, INT((ROW()-5)/10)+1)</f>
        <v>Kotak</v>
      </c>
      <c r="C149" t="str">
        <f>VLOOKUP(B149, [1]Sheet1!$A:$B, 2, FALSE)</f>
        <v>Finance</v>
      </c>
      <c r="D149">
        <f ca="1">VLOOKUP($B149, [1]Sheet1!$A:$F, 3, FALSE) * (RANDBETWEEN(10,25)/100)</f>
        <v>674100000000</v>
      </c>
      <c r="E149">
        <f t="shared" ca="1" si="17"/>
        <v>-674100000000</v>
      </c>
      <c r="F149">
        <f ca="1">VLOOKUP($B149, [1]Sheet1!$A:$F, 4, FALSE) * (RANDBETWEEN(40,70)/100)</f>
        <v>724776000000</v>
      </c>
      <c r="G149">
        <f ca="1">VLOOKUP($B149, [1]Sheet1!$A:$F, 5, FALSE) * (RANDBETWEEN(60,100)/100)</f>
        <v>139956400000</v>
      </c>
      <c r="H149">
        <f t="shared" ca="1" si="16"/>
        <v>163748988000</v>
      </c>
      <c r="I149">
        <f t="shared" ca="1" si="18"/>
        <v>4</v>
      </c>
      <c r="J149">
        <f t="shared" ca="1" si="19"/>
        <v>0.1</v>
      </c>
      <c r="K149">
        <f t="shared" ca="1" si="24"/>
        <v>223480757325.31921</v>
      </c>
      <c r="L149" s="4">
        <f t="shared" ca="1" si="21"/>
        <v>0.35936509422465668</v>
      </c>
      <c r="M149">
        <f t="shared" ca="1" si="22"/>
        <v>1</v>
      </c>
      <c r="N149" t="str">
        <f t="shared" ca="1" si="23"/>
        <v>Accept</v>
      </c>
    </row>
    <row r="150" spans="1:14" x14ac:dyDescent="0.3">
      <c r="A150" t="s">
        <v>160</v>
      </c>
      <c r="B150" t="str" cm="1">
        <f t="array" ref="B150">INDEX([1]Sheet1!$A$2:$A$26, INT((ROW()-5)/10)+1)</f>
        <v>Kotak</v>
      </c>
      <c r="C150" t="str">
        <f>VLOOKUP(B150, [1]Sheet1!$A:$B, 2, FALSE)</f>
        <v>Finance</v>
      </c>
      <c r="D150">
        <f ca="1">VLOOKUP($B150, [1]Sheet1!$A:$F, 3, FALSE) * (RANDBETWEEN(10,25)/100)</f>
        <v>431424000000</v>
      </c>
      <c r="E150">
        <f t="shared" ca="1" si="17"/>
        <v>-431424000000</v>
      </c>
      <c r="F150">
        <f ca="1">VLOOKUP($B150, [1]Sheet1!$A:$F, 4, FALSE) * (RANDBETWEEN(40,70)/100)</f>
        <v>929604000000</v>
      </c>
      <c r="G150">
        <f ca="1">VLOOKUP($B150, [1]Sheet1!$A:$F, 5, FALSE) * (RANDBETWEEN(60,100)/100)</f>
        <v>171845200000</v>
      </c>
      <c r="H150">
        <f t="shared" ca="1" si="16"/>
        <v>197621980000</v>
      </c>
      <c r="I150">
        <f t="shared" ca="1" si="18"/>
        <v>4</v>
      </c>
      <c r="J150">
        <f t="shared" ca="1" si="19"/>
        <v>0.1</v>
      </c>
      <c r="K150">
        <f t="shared" ca="1" si="24"/>
        <v>704167690458.302</v>
      </c>
      <c r="L150" s="4">
        <f t="shared" ca="1" si="21"/>
        <v>1.4001999377967476</v>
      </c>
      <c r="M150">
        <f t="shared" ca="1" si="22"/>
        <v>1</v>
      </c>
      <c r="N150" t="str">
        <f t="shared" ca="1" si="23"/>
        <v>Accept</v>
      </c>
    </row>
    <row r="151" spans="1:14" x14ac:dyDescent="0.3">
      <c r="A151" t="s">
        <v>161</v>
      </c>
      <c r="B151" t="str" cm="1">
        <f t="array" ref="B151">INDEX([1]Sheet1!$A$2:$A$26, INT((ROW()-5)/10)+1)</f>
        <v>Kotak</v>
      </c>
      <c r="C151" t="str">
        <f>VLOOKUP(B151, [1]Sheet1!$A:$B, 2, FALSE)</f>
        <v>Finance</v>
      </c>
      <c r="D151">
        <f ca="1">VLOOKUP($B151, [1]Sheet1!$A:$F, 3, FALSE) * (RANDBETWEEN(10,25)/100)</f>
        <v>566244000000</v>
      </c>
      <c r="E151">
        <f t="shared" ca="1" si="17"/>
        <v>-566244000000</v>
      </c>
      <c r="F151">
        <f ca="1">VLOOKUP($B151, [1]Sheet1!$A:$F, 4, FALSE) * (RANDBETWEEN(40,70)/100)</f>
        <v>756288000000</v>
      </c>
      <c r="G151">
        <f ca="1">VLOOKUP($B151, [1]Sheet1!$A:$F, 5, FALSE) * (RANDBETWEEN(60,100)/100)</f>
        <v>152357600000</v>
      </c>
      <c r="H151">
        <f t="shared" ca="1" si="16"/>
        <v>167593360000</v>
      </c>
      <c r="I151">
        <f t="shared" ca="1" si="18"/>
        <v>6</v>
      </c>
      <c r="J151">
        <f t="shared" ca="1" si="19"/>
        <v>0.1</v>
      </c>
      <c r="K151">
        <f t="shared" ca="1" si="24"/>
        <v>373121289256.19824</v>
      </c>
      <c r="L151" s="4">
        <f t="shared" ca="1" si="21"/>
        <v>0.61556623479593298</v>
      </c>
      <c r="M151">
        <f t="shared" ca="1" si="22"/>
        <v>1</v>
      </c>
      <c r="N151" t="str">
        <f t="shared" ca="1" si="23"/>
        <v>Accept</v>
      </c>
    </row>
    <row r="152" spans="1:14" x14ac:dyDescent="0.3">
      <c r="A152" t="s">
        <v>162</v>
      </c>
      <c r="B152" t="str" cm="1">
        <f t="array" ref="B152">INDEX([1]Sheet1!$A$2:$A$26, INT((ROW()-5)/10)+1)</f>
        <v>Kotak</v>
      </c>
      <c r="C152" t="str">
        <f>VLOOKUP(B152, [1]Sheet1!$A:$B, 2, FALSE)</f>
        <v>Finance</v>
      </c>
      <c r="D152">
        <f ca="1">VLOOKUP($B152, [1]Sheet1!$A:$F, 3, FALSE) * (RANDBETWEEN(10,25)/100)</f>
        <v>566244000000</v>
      </c>
      <c r="E152">
        <f t="shared" ca="1" si="17"/>
        <v>-566244000000</v>
      </c>
      <c r="F152">
        <f ca="1">VLOOKUP($B152, [1]Sheet1!$A:$F, 4, FALSE) * (RANDBETWEEN(40,70)/100)</f>
        <v>1024140000000</v>
      </c>
      <c r="G152">
        <f ca="1">VLOOKUP($B152, [1]Sheet1!$A:$F, 5, FALSE) * (RANDBETWEEN(60,100)/100)</f>
        <v>116925600000</v>
      </c>
      <c r="H152">
        <f t="shared" ca="1" si="16"/>
        <v>127448904000.00002</v>
      </c>
      <c r="I152">
        <f t="shared" ca="1" si="18"/>
        <v>4</v>
      </c>
      <c r="J152">
        <f t="shared" ca="1" si="19"/>
        <v>0.1</v>
      </c>
      <c r="K152">
        <f t="shared" ca="1" si="24"/>
        <v>557179338842.9751</v>
      </c>
      <c r="L152" s="4">
        <f t="shared" ca="1" si="21"/>
        <v>0.97132207233383316</v>
      </c>
      <c r="M152">
        <f t="shared" ca="1" si="22"/>
        <v>1</v>
      </c>
      <c r="N152" t="str">
        <f t="shared" ca="1" si="23"/>
        <v>Accept</v>
      </c>
    </row>
    <row r="153" spans="1:14" x14ac:dyDescent="0.3">
      <c r="A153" t="s">
        <v>163</v>
      </c>
      <c r="B153" t="str" cm="1">
        <f t="array" ref="B153">INDEX([1]Sheet1!$A$2:$A$26, INT((ROW()-5)/10)+1)</f>
        <v>Kotak</v>
      </c>
      <c r="C153" t="str">
        <f>VLOOKUP(B153, [1]Sheet1!$A:$B, 2, FALSE)</f>
        <v>Finance</v>
      </c>
      <c r="D153">
        <f ca="1">VLOOKUP($B153, [1]Sheet1!$A:$F, 3, FALSE) * (RANDBETWEEN(10,25)/100)</f>
        <v>350532000000</v>
      </c>
      <c r="E153">
        <f t="shared" ca="1" si="17"/>
        <v>-350532000000</v>
      </c>
      <c r="F153">
        <f ca="1">VLOOKUP($B153, [1]Sheet1!$A:$F, 4, FALSE) * (RANDBETWEEN(40,70)/100)</f>
        <v>819312000000</v>
      </c>
      <c r="G153">
        <f ca="1">VLOOKUP($B153, [1]Sheet1!$A:$F, 5, FALSE) * (RANDBETWEEN(60,100)/100)</f>
        <v>148814400000</v>
      </c>
      <c r="H153">
        <f t="shared" ca="1" si="16"/>
        <v>163695840000</v>
      </c>
      <c r="I153">
        <f t="shared" ca="1" si="18"/>
        <v>4</v>
      </c>
      <c r="J153">
        <f t="shared" ca="1" si="19"/>
        <v>0.1</v>
      </c>
      <c r="K153">
        <f t="shared" ca="1" si="24"/>
        <v>640271305785.12378</v>
      </c>
      <c r="L153" s="4">
        <f t="shared" ca="1" si="21"/>
        <v>1.572888651005266</v>
      </c>
      <c r="M153">
        <f t="shared" ca="1" si="22"/>
        <v>1</v>
      </c>
      <c r="N153" t="str">
        <f t="shared" ca="1" si="23"/>
        <v>Accept</v>
      </c>
    </row>
    <row r="154" spans="1:14" x14ac:dyDescent="0.3">
      <c r="A154" t="s">
        <v>164</v>
      </c>
      <c r="B154" t="str" cm="1">
        <f t="array" ref="B154">INDEX([1]Sheet1!$A$2:$A$26, INT((ROW()-5)/10)+1)</f>
        <v>Kotak</v>
      </c>
      <c r="C154" t="str">
        <f>VLOOKUP(B154, [1]Sheet1!$A:$B, 2, FALSE)</f>
        <v>Finance</v>
      </c>
      <c r="D154">
        <f ca="1">VLOOKUP($B154, [1]Sheet1!$A:$F, 3, FALSE) * (RANDBETWEEN(10,25)/100)</f>
        <v>593208000000</v>
      </c>
      <c r="E154">
        <f t="shared" ca="1" si="17"/>
        <v>-593208000000</v>
      </c>
      <c r="F154">
        <f ca="1">VLOOKUP($B154, [1]Sheet1!$A:$F, 4, FALSE) * (RANDBETWEEN(40,70)/100)</f>
        <v>1008384000000</v>
      </c>
      <c r="G154">
        <f ca="1">VLOOKUP($B154, [1]Sheet1!$A:$F, 5, FALSE) * (RANDBETWEEN(60,100)/100)</f>
        <v>157672400000</v>
      </c>
      <c r="H154">
        <f t="shared" ca="1" si="16"/>
        <v>178169811999.99997</v>
      </c>
      <c r="I154">
        <f t="shared" ca="1" si="18"/>
        <v>3</v>
      </c>
      <c r="J154">
        <f t="shared" ca="1" si="19"/>
        <v>0.08</v>
      </c>
      <c r="K154">
        <f t="shared" ca="1" si="24"/>
        <v>617096499441.14185</v>
      </c>
      <c r="L154" s="4">
        <f t="shared" ca="1" si="21"/>
        <v>0.91982127758540577</v>
      </c>
      <c r="M154">
        <f t="shared" ca="1" si="22"/>
        <v>1</v>
      </c>
      <c r="N154" t="str">
        <f t="shared" ca="1" si="23"/>
        <v>Accept</v>
      </c>
    </row>
    <row r="155" spans="1:14" x14ac:dyDescent="0.3">
      <c r="A155" t="s">
        <v>165</v>
      </c>
      <c r="B155" t="str" cm="1">
        <f t="array" ref="B155">INDEX([1]Sheet1!$A$2:$A$26, INT((ROW()-5)/10)+1)</f>
        <v>Hindustan Unilever</v>
      </c>
      <c r="C155" t="str">
        <f>VLOOKUP(B155, [1]Sheet1!$A:$B, 2, FALSE)</f>
        <v>FMCG</v>
      </c>
      <c r="D155">
        <f ca="1">VLOOKUP($B155, [1]Sheet1!$A:$F, 3, FALSE) * (RANDBETWEEN(10,25)/100)</f>
        <v>72360000000</v>
      </c>
      <c r="E155">
        <f t="shared" ca="1" si="17"/>
        <v>-72360000000</v>
      </c>
      <c r="F155">
        <f ca="1">VLOOKUP($B155, [1]Sheet1!$A:$F, 4, FALSE) * (RANDBETWEEN(40,70)/100)</f>
        <v>72000000000</v>
      </c>
      <c r="G155">
        <f ca="1">VLOOKUP($B155, [1]Sheet1!$A:$F, 5, FALSE) * (RANDBETWEEN(60,100)/100)</f>
        <v>80560000000</v>
      </c>
      <c r="H155">
        <f t="shared" ca="1" si="16"/>
        <v>87004800000</v>
      </c>
      <c r="I155">
        <f t="shared" ca="1" si="18"/>
        <v>5</v>
      </c>
      <c r="J155">
        <f t="shared" ca="1" si="19"/>
        <v>0.1</v>
      </c>
      <c r="K155">
        <f t="shared" ca="1" si="24"/>
        <v>125041051840.72122</v>
      </c>
      <c r="L155" s="4">
        <f t="shared" ca="1" si="21"/>
        <v>0.90849122007250971</v>
      </c>
      <c r="M155">
        <f t="shared" ca="1" si="22"/>
        <v>1.0044687189672294</v>
      </c>
      <c r="N155" t="str">
        <f t="shared" ca="1" si="23"/>
        <v>Accept</v>
      </c>
    </row>
    <row r="156" spans="1:14" x14ac:dyDescent="0.3">
      <c r="A156" t="s">
        <v>166</v>
      </c>
      <c r="B156" t="str" cm="1">
        <f t="array" ref="B156">INDEX([1]Sheet1!$A$2:$A$26, INT((ROW()-5)/10)+1)</f>
        <v>Hindustan Unilever</v>
      </c>
      <c r="C156" t="str">
        <f>VLOOKUP(B156, [1]Sheet1!$A:$B, 2, FALSE)</f>
        <v>FMCG</v>
      </c>
      <c r="D156">
        <f ca="1">VLOOKUP($B156, [1]Sheet1!$A:$F, 3, FALSE) * (RANDBETWEEN(10,25)/100)</f>
        <v>96480000000</v>
      </c>
      <c r="E156">
        <f t="shared" ca="1" si="17"/>
        <v>-96480000000</v>
      </c>
      <c r="F156">
        <f ca="1">VLOOKUP($B156, [1]Sheet1!$A:$F, 4, FALSE) * (RANDBETWEEN(40,70)/100)</f>
        <v>96480000000</v>
      </c>
      <c r="G156">
        <f ca="1">VLOOKUP($B156, [1]Sheet1!$A:$F, 5, FALSE) * (RANDBETWEEN(60,100)/100)</f>
        <v>91160000000</v>
      </c>
      <c r="H156">
        <f t="shared" ca="1" si="16"/>
        <v>101187600000.00002</v>
      </c>
      <c r="I156">
        <f t="shared" ca="1" si="18"/>
        <v>5</v>
      </c>
      <c r="J156">
        <f t="shared" ca="1" si="19"/>
        <v>0.1</v>
      </c>
      <c r="K156">
        <f t="shared" ca="1" si="24"/>
        <v>142591675432.00598</v>
      </c>
      <c r="L156" s="4">
        <f t="shared" ca="1" si="21"/>
        <v>0.8296872626405396</v>
      </c>
      <c r="M156">
        <f t="shared" ca="1" si="22"/>
        <v>1</v>
      </c>
      <c r="N156" t="str">
        <f t="shared" ca="1" si="23"/>
        <v>Accept</v>
      </c>
    </row>
    <row r="157" spans="1:14" x14ac:dyDescent="0.3">
      <c r="A157" t="s">
        <v>167</v>
      </c>
      <c r="B157" t="str" cm="1">
        <f t="array" ref="B157">INDEX([1]Sheet1!$A$2:$A$26, INT((ROW()-5)/10)+1)</f>
        <v>Hindustan Unilever</v>
      </c>
      <c r="C157" t="str">
        <f>VLOOKUP(B157, [1]Sheet1!$A:$B, 2, FALSE)</f>
        <v>FMCG</v>
      </c>
      <c r="D157">
        <f ca="1">VLOOKUP($B157, [1]Sheet1!$A:$F, 3, FALSE) * (RANDBETWEEN(10,25)/100)</f>
        <v>66330000000</v>
      </c>
      <c r="E157">
        <f t="shared" ca="1" si="17"/>
        <v>-66330000000</v>
      </c>
      <c r="F157">
        <f ca="1">VLOOKUP($B157, [1]Sheet1!$A:$F, 4, FALSE) * (RANDBETWEEN(40,70)/100)</f>
        <v>74880000000</v>
      </c>
      <c r="G157">
        <f ca="1">VLOOKUP($B157, [1]Sheet1!$A:$F, 5, FALSE) * (RANDBETWEEN(60,100)/100)</f>
        <v>72080000000</v>
      </c>
      <c r="H157">
        <f t="shared" ca="1" si="16"/>
        <v>75684000000</v>
      </c>
      <c r="I157">
        <f t="shared" ca="1" si="18"/>
        <v>3</v>
      </c>
      <c r="J157">
        <f t="shared" ca="1" si="19"/>
        <v>0.08</v>
      </c>
      <c r="K157">
        <f t="shared" ca="1" si="24"/>
        <v>124880714830.05637</v>
      </c>
      <c r="L157" s="4">
        <f t="shared" ca="1" si="21"/>
        <v>0.97287097745529083</v>
      </c>
      <c r="M157">
        <f t="shared" ca="1" si="22"/>
        <v>1</v>
      </c>
      <c r="N157" t="str">
        <f t="shared" ca="1" si="23"/>
        <v>Accept</v>
      </c>
    </row>
    <row r="158" spans="1:14" x14ac:dyDescent="0.3">
      <c r="A158" t="s">
        <v>168</v>
      </c>
      <c r="B158" t="str" cm="1">
        <f t="array" ref="B158">INDEX([1]Sheet1!$A$2:$A$26, INT((ROW()-5)/10)+1)</f>
        <v>Hindustan Unilever</v>
      </c>
      <c r="C158" t="str">
        <f>VLOOKUP(B158, [1]Sheet1!$A:$B, 2, FALSE)</f>
        <v>FMCG</v>
      </c>
      <c r="D158">
        <f ca="1">VLOOKUP($B158, [1]Sheet1!$A:$F, 3, FALSE) * (RANDBETWEEN(10,25)/100)</f>
        <v>150750000000</v>
      </c>
      <c r="E158">
        <f t="shared" ca="1" si="17"/>
        <v>-150750000000</v>
      </c>
      <c r="F158">
        <f ca="1">VLOOKUP($B158, [1]Sheet1!$A:$F, 4, FALSE) * (RANDBETWEEN(40,70)/100)</f>
        <v>82080000000</v>
      </c>
      <c r="G158">
        <f ca="1">VLOOKUP($B158, [1]Sheet1!$A:$F, 5, FALSE) * (RANDBETWEEN(60,100)/100)</f>
        <v>95400000000</v>
      </c>
      <c r="H158">
        <f t="shared" ca="1" si="16"/>
        <v>100170000000</v>
      </c>
      <c r="I158">
        <f t="shared" ca="1" si="18"/>
        <v>5</v>
      </c>
      <c r="J158">
        <f t="shared" ca="1" si="19"/>
        <v>0.1</v>
      </c>
      <c r="K158">
        <f t="shared" ca="1" si="24"/>
        <v>77970360631.10437</v>
      </c>
      <c r="L158" s="4">
        <f t="shared" ca="1" si="21"/>
        <v>0.36485033533113631</v>
      </c>
      <c r="M158">
        <f t="shared" ca="1" si="22"/>
        <v>1.719811320754717</v>
      </c>
      <c r="N158" t="str">
        <f t="shared" ca="1" si="23"/>
        <v>Accept</v>
      </c>
    </row>
    <row r="159" spans="1:14" x14ac:dyDescent="0.3">
      <c r="A159" t="s">
        <v>169</v>
      </c>
      <c r="B159" t="str" cm="1">
        <f t="array" ref="B159">INDEX([1]Sheet1!$A$2:$A$26, INT((ROW()-5)/10)+1)</f>
        <v>Hindustan Unilever</v>
      </c>
      <c r="C159" t="str">
        <f>VLOOKUP(B159, [1]Sheet1!$A:$B, 2, FALSE)</f>
        <v>FMCG</v>
      </c>
      <c r="D159">
        <f ca="1">VLOOKUP($B159, [1]Sheet1!$A:$F, 3, FALSE) * (RANDBETWEEN(10,25)/100)</f>
        <v>138690000000</v>
      </c>
      <c r="E159">
        <f t="shared" ca="1" si="17"/>
        <v>-138690000000</v>
      </c>
      <c r="F159">
        <f ca="1">VLOOKUP($B159, [1]Sheet1!$A:$F, 4, FALSE) * (RANDBETWEEN(40,70)/100)</f>
        <v>80640000000.000015</v>
      </c>
      <c r="G159">
        <f ca="1">VLOOKUP($B159, [1]Sheet1!$A:$F, 5, FALSE) * (RANDBETWEEN(60,100)/100)</f>
        <v>76320000000</v>
      </c>
      <c r="H159">
        <f t="shared" ca="1" si="16"/>
        <v>83952000000</v>
      </c>
      <c r="I159">
        <f t="shared" ca="1" si="18"/>
        <v>3</v>
      </c>
      <c r="J159">
        <f t="shared" ca="1" si="19"/>
        <v>0.08</v>
      </c>
      <c r="K159">
        <f t="shared" ca="1" si="24"/>
        <v>68052569730.22403</v>
      </c>
      <c r="L159" s="4">
        <f t="shared" ca="1" si="21"/>
        <v>0.33405844930272788</v>
      </c>
      <c r="M159">
        <f t="shared" ca="1" si="22"/>
        <v>1.7606132075471697</v>
      </c>
      <c r="N159" t="str">
        <f t="shared" ca="1" si="23"/>
        <v>Accept</v>
      </c>
    </row>
    <row r="160" spans="1:14" x14ac:dyDescent="0.3">
      <c r="A160" t="s">
        <v>170</v>
      </c>
      <c r="B160" t="str" cm="1">
        <f t="array" ref="B160">INDEX([1]Sheet1!$A$2:$A$26, INT((ROW()-5)/10)+1)</f>
        <v>Hindustan Unilever</v>
      </c>
      <c r="C160" t="str">
        <f>VLOOKUP(B160, [1]Sheet1!$A:$B, 2, FALSE)</f>
        <v>FMCG</v>
      </c>
      <c r="D160">
        <f ca="1">VLOOKUP($B160, [1]Sheet1!$A:$F, 3, FALSE) * (RANDBETWEEN(10,25)/100)</f>
        <v>90450000000</v>
      </c>
      <c r="E160">
        <f t="shared" ca="1" si="17"/>
        <v>-90450000000</v>
      </c>
      <c r="F160">
        <f ca="1">VLOOKUP($B160, [1]Sheet1!$A:$F, 4, FALSE) * (RANDBETWEEN(40,70)/100)</f>
        <v>92160000000</v>
      </c>
      <c r="G160">
        <f ca="1">VLOOKUP($B160, [1]Sheet1!$A:$F, 5, FALSE) * (RANDBETWEEN(60,100)/100)</f>
        <v>101760000000</v>
      </c>
      <c r="H160">
        <f t="shared" ca="1" si="16"/>
        <v>122112000000</v>
      </c>
      <c r="I160">
        <f t="shared" ca="1" si="18"/>
        <v>2</v>
      </c>
      <c r="J160">
        <f t="shared" ca="1" si="19"/>
        <v>0.08</v>
      </c>
      <c r="K160">
        <f t="shared" ca="1" si="24"/>
        <v>179062574302.69775</v>
      </c>
      <c r="L160" s="4">
        <f t="shared" ca="1" si="21"/>
        <v>0.95053770905532997</v>
      </c>
      <c r="M160">
        <f t="shared" ca="1" si="22"/>
        <v>1</v>
      </c>
      <c r="N160" t="str">
        <f t="shared" ca="1" si="23"/>
        <v>Accept</v>
      </c>
    </row>
    <row r="161" spans="1:14" x14ac:dyDescent="0.3">
      <c r="A161" t="s">
        <v>171</v>
      </c>
      <c r="B161" t="str" cm="1">
        <f t="array" ref="B161">INDEX([1]Sheet1!$A$2:$A$26, INT((ROW()-5)/10)+1)</f>
        <v>Hindustan Unilever</v>
      </c>
      <c r="C161" t="str">
        <f>VLOOKUP(B161, [1]Sheet1!$A:$B, 2, FALSE)</f>
        <v>FMCG</v>
      </c>
      <c r="D161">
        <f ca="1">VLOOKUP($B161, [1]Sheet1!$A:$F, 3, FALSE) * (RANDBETWEEN(10,25)/100)</f>
        <v>138690000000</v>
      </c>
      <c r="E161">
        <f t="shared" ca="1" si="17"/>
        <v>-138690000000</v>
      </c>
      <c r="F161">
        <f ca="1">VLOOKUP($B161, [1]Sheet1!$A:$F, 4, FALSE) * (RANDBETWEEN(40,70)/100)</f>
        <v>83520000000</v>
      </c>
      <c r="G161">
        <f ca="1">VLOOKUP($B161, [1]Sheet1!$A:$F, 5, FALSE) * (RANDBETWEEN(60,100)/100)</f>
        <v>68900000000</v>
      </c>
      <c r="H161">
        <f t="shared" ca="1" si="16"/>
        <v>75790000000</v>
      </c>
      <c r="I161">
        <f t="shared" ca="1" si="18"/>
        <v>4</v>
      </c>
      <c r="J161">
        <f t="shared" ca="1" si="19"/>
        <v>0.1</v>
      </c>
      <c r="K161">
        <f t="shared" ca="1" si="24"/>
        <v>51121570247.933838</v>
      </c>
      <c r="L161" s="4">
        <f t="shared" ca="1" si="21"/>
        <v>0.30431150709580979</v>
      </c>
      <c r="M161">
        <f t="shared" ca="1" si="22"/>
        <v>1.8007256894049348</v>
      </c>
      <c r="N161" t="str">
        <f t="shared" ca="1" si="23"/>
        <v>Accept</v>
      </c>
    </row>
    <row r="162" spans="1:14" x14ac:dyDescent="0.3">
      <c r="A162" t="s">
        <v>172</v>
      </c>
      <c r="B162" t="str" cm="1">
        <f t="array" ref="B162">INDEX([1]Sheet1!$A$2:$A$26, INT((ROW()-5)/10)+1)</f>
        <v>Hindustan Unilever</v>
      </c>
      <c r="C162" t="str">
        <f>VLOOKUP(B162, [1]Sheet1!$A:$B, 2, FALSE)</f>
        <v>FMCG</v>
      </c>
      <c r="D162">
        <f ca="1">VLOOKUP($B162, [1]Sheet1!$A:$F, 3, FALSE) * (RANDBETWEEN(10,25)/100)</f>
        <v>138690000000</v>
      </c>
      <c r="E162">
        <f t="shared" ca="1" si="17"/>
        <v>-138690000000</v>
      </c>
      <c r="F162">
        <f ca="1">VLOOKUP($B162, [1]Sheet1!$A:$F, 4, FALSE) * (RANDBETWEEN(40,70)/100)</f>
        <v>80640000000.000015</v>
      </c>
      <c r="G162">
        <f ca="1">VLOOKUP($B162, [1]Sheet1!$A:$F, 5, FALSE) * (RANDBETWEEN(60,100)/100)</f>
        <v>64660000000</v>
      </c>
      <c r="H162">
        <f t="shared" ca="1" si="16"/>
        <v>70479400000</v>
      </c>
      <c r="I162">
        <f t="shared" ca="1" si="18"/>
        <v>3</v>
      </c>
      <c r="J162">
        <f t="shared" ca="1" si="19"/>
        <v>0.08</v>
      </c>
      <c r="K162">
        <f t="shared" ca="1" si="24"/>
        <v>47361014835.136902</v>
      </c>
      <c r="L162" s="4">
        <f t="shared" ca="1" si="21"/>
        <v>0.2664290130311977</v>
      </c>
      <c r="M162">
        <f t="shared" ca="1" si="22"/>
        <v>1.8977729662851837</v>
      </c>
      <c r="N162" t="str">
        <f t="shared" ca="1" si="23"/>
        <v>Accept</v>
      </c>
    </row>
    <row r="163" spans="1:14" x14ac:dyDescent="0.3">
      <c r="A163" t="s">
        <v>173</v>
      </c>
      <c r="B163" t="str" cm="1">
        <f t="array" ref="B163">INDEX([1]Sheet1!$A$2:$A$26, INT((ROW()-5)/10)+1)</f>
        <v>Hindustan Unilever</v>
      </c>
      <c r="C163" t="str">
        <f>VLOOKUP(B163, [1]Sheet1!$A:$B, 2, FALSE)</f>
        <v>FMCG</v>
      </c>
      <c r="D163">
        <f ca="1">VLOOKUP($B163, [1]Sheet1!$A:$F, 3, FALSE) * (RANDBETWEEN(10,25)/100)</f>
        <v>84420000000.000015</v>
      </c>
      <c r="E163">
        <f t="shared" ca="1" si="17"/>
        <v>-84420000000.000015</v>
      </c>
      <c r="F163">
        <f ca="1">VLOOKUP($B163, [1]Sheet1!$A:$F, 4, FALSE) * (RANDBETWEEN(40,70)/100)</f>
        <v>82080000000</v>
      </c>
      <c r="G163">
        <f ca="1">VLOOKUP($B163, [1]Sheet1!$A:$F, 5, FALSE) * (RANDBETWEEN(60,100)/100)</f>
        <v>101760000000</v>
      </c>
      <c r="H163">
        <f t="shared" ca="1" si="16"/>
        <v>114988799999.99998</v>
      </c>
      <c r="I163">
        <f t="shared" ca="1" si="18"/>
        <v>4</v>
      </c>
      <c r="J163">
        <f t="shared" ca="1" si="19"/>
        <v>0.1</v>
      </c>
      <c r="K163">
        <f t="shared" ca="1" si="24"/>
        <v>160690142749.81213</v>
      </c>
      <c r="L163" s="4">
        <f t="shared" ca="1" si="21"/>
        <v>0.94919798021278989</v>
      </c>
      <c r="M163">
        <f t="shared" ca="1" si="22"/>
        <v>1.022995283018868</v>
      </c>
      <c r="N163" t="str">
        <f t="shared" ca="1" si="23"/>
        <v>Accept</v>
      </c>
    </row>
    <row r="164" spans="1:14" x14ac:dyDescent="0.3">
      <c r="A164" t="s">
        <v>174</v>
      </c>
      <c r="B164" t="str" cm="1">
        <f t="array" ref="B164">INDEX([1]Sheet1!$A$2:$A$26, INT((ROW()-5)/10)+1)</f>
        <v>Hindustan Unilever</v>
      </c>
      <c r="C164" t="str">
        <f>VLOOKUP(B164, [1]Sheet1!$A:$B, 2, FALSE)</f>
        <v>FMCG</v>
      </c>
      <c r="D164">
        <f ca="1">VLOOKUP($B164, [1]Sheet1!$A:$F, 3, FALSE) * (RANDBETWEEN(10,25)/100)</f>
        <v>84420000000.000015</v>
      </c>
      <c r="E164">
        <f t="shared" ca="1" si="17"/>
        <v>-84420000000.000015</v>
      </c>
      <c r="F164">
        <f ca="1">VLOOKUP($B164, [1]Sheet1!$A:$F, 4, FALSE) * (RANDBETWEEN(40,70)/100)</f>
        <v>99359999999.999985</v>
      </c>
      <c r="G164">
        <f ca="1">VLOOKUP($B164, [1]Sheet1!$A:$F, 5, FALSE) * (RANDBETWEEN(60,100)/100)</f>
        <v>72080000000</v>
      </c>
      <c r="H164">
        <f t="shared" ca="1" si="16"/>
        <v>75684000000</v>
      </c>
      <c r="I164">
        <f t="shared" ca="1" si="18"/>
        <v>3</v>
      </c>
      <c r="J164">
        <f t="shared" ca="1" si="19"/>
        <v>0.08</v>
      </c>
      <c r="K164">
        <f t="shared" ca="1" si="24"/>
        <v>129457381496.72301</v>
      </c>
      <c r="L164" s="4">
        <f t="shared" ca="1" si="21"/>
        <v>0.88317140110184988</v>
      </c>
      <c r="M164">
        <f t="shared" ca="1" si="22"/>
        <v>1</v>
      </c>
      <c r="N164" t="str">
        <f t="shared" ca="1" si="23"/>
        <v>Accept</v>
      </c>
    </row>
    <row r="165" spans="1:14" x14ac:dyDescent="0.3">
      <c r="A165" t="s">
        <v>175</v>
      </c>
      <c r="B165" t="str" cm="1">
        <f t="array" ref="B165">INDEX([1]Sheet1!$A$2:$A$26, INT((ROW()-5)/10)+1)</f>
        <v>ITC</v>
      </c>
      <c r="C165" t="str">
        <f>VLOOKUP(B165, [1]Sheet1!$A:$B, 2, FALSE)</f>
        <v>FMCG</v>
      </c>
      <c r="D165">
        <f ca="1">VLOOKUP($B165, [1]Sheet1!$A:$F, 3, FALSE) * (RANDBETWEEN(10,25)/100)</f>
        <v>134529300000</v>
      </c>
      <c r="E165">
        <f t="shared" ca="1" si="17"/>
        <v>-134529300000</v>
      </c>
      <c r="F165">
        <f ca="1">VLOOKUP($B165, [1]Sheet1!$A:$F, 4, FALSE) * (RANDBETWEEN(40,70)/100)</f>
        <v>92404799999.999985</v>
      </c>
      <c r="G165">
        <f ca="1">VLOOKUP($B165, [1]Sheet1!$A:$F, 5, FALSE) * (RANDBETWEEN(60,100)/100)</f>
        <v>79394000000</v>
      </c>
      <c r="H165">
        <f t="shared" ca="1" si="16"/>
        <v>95272800000</v>
      </c>
      <c r="I165">
        <f t="shared" ca="1" si="18"/>
        <v>2</v>
      </c>
      <c r="J165">
        <f t="shared" ca="1" si="19"/>
        <v>0.08</v>
      </c>
      <c r="K165">
        <f t="shared" ca="1" si="24"/>
        <v>94728878631.306183</v>
      </c>
      <c r="L165" s="4">
        <f t="shared" ca="1" si="21"/>
        <v>0.43899854678048311</v>
      </c>
      <c r="M165">
        <f t="shared" ca="1" si="22"/>
        <v>1.5305753583394213</v>
      </c>
      <c r="N165" t="str">
        <f t="shared" ca="1" si="23"/>
        <v>Accept</v>
      </c>
    </row>
    <row r="166" spans="1:14" x14ac:dyDescent="0.3">
      <c r="A166" t="s">
        <v>176</v>
      </c>
      <c r="B166" t="str" cm="1">
        <f t="array" ref="B166">INDEX([1]Sheet1!$A$2:$A$26, INT((ROW()-5)/10)+1)</f>
        <v>ITC</v>
      </c>
      <c r="C166" t="str">
        <f>VLOOKUP(B166, [1]Sheet1!$A:$B, 2, FALSE)</f>
        <v>FMCG</v>
      </c>
      <c r="D166">
        <f ca="1">VLOOKUP($B166, [1]Sheet1!$A:$F, 3, FALSE) * (RANDBETWEEN(10,25)/100)</f>
        <v>128680200000</v>
      </c>
      <c r="E166">
        <f t="shared" ca="1" si="17"/>
        <v>-128680200000</v>
      </c>
      <c r="F166">
        <f ca="1">VLOOKUP($B166, [1]Sheet1!$A:$F, 4, FALSE) * (RANDBETWEEN(40,70)/100)</f>
        <v>62942399999.999992</v>
      </c>
      <c r="G166">
        <f ca="1">VLOOKUP($B166, [1]Sheet1!$A:$F, 5, FALSE) * (RANDBETWEEN(60,100)/100)</f>
        <v>113420000000</v>
      </c>
      <c r="H166">
        <f t="shared" ca="1" si="16"/>
        <v>121359400000</v>
      </c>
      <c r="I166">
        <f t="shared" ca="1" si="18"/>
        <v>5</v>
      </c>
      <c r="J166">
        <f t="shared" ca="1" si="19"/>
        <v>0.1</v>
      </c>
      <c r="K166">
        <f t="shared" ca="1" si="24"/>
        <v>113454814274.98117</v>
      </c>
      <c r="L166" s="4">
        <f t="shared" ca="1" si="21"/>
        <v>0.49790207881479565</v>
      </c>
      <c r="M166">
        <f t="shared" ca="1" si="22"/>
        <v>1.5795961911479459</v>
      </c>
      <c r="N166" t="str">
        <f t="shared" ca="1" si="23"/>
        <v>Accept</v>
      </c>
    </row>
    <row r="167" spans="1:14" x14ac:dyDescent="0.3">
      <c r="A167" t="s">
        <v>177</v>
      </c>
      <c r="B167" t="str" cm="1">
        <f t="array" ref="B167">INDEX([1]Sheet1!$A$2:$A$26, INT((ROW()-5)/10)+1)</f>
        <v>ITC</v>
      </c>
      <c r="C167" t="str">
        <f>VLOOKUP(B167, [1]Sheet1!$A:$B, 2, FALSE)</f>
        <v>FMCG</v>
      </c>
      <c r="D167">
        <f ca="1">VLOOKUP($B167, [1]Sheet1!$A:$F, 3, FALSE) * (RANDBETWEEN(10,25)/100)</f>
        <v>87736500000</v>
      </c>
      <c r="E167">
        <f t="shared" ca="1" si="17"/>
        <v>-87736500000</v>
      </c>
      <c r="F167">
        <f ca="1">VLOOKUP($B167, [1]Sheet1!$A:$F, 4, FALSE) * (RANDBETWEEN(40,70)/100)</f>
        <v>81691199999.999985</v>
      </c>
      <c r="G167">
        <f ca="1">VLOOKUP($B167, [1]Sheet1!$A:$F, 5, FALSE) * (RANDBETWEEN(60,100)/100)</f>
        <v>96407000000</v>
      </c>
      <c r="H167">
        <f t="shared" ca="1" si="16"/>
        <v>104119560000</v>
      </c>
      <c r="I167">
        <f t="shared" ca="1" si="18"/>
        <v>5</v>
      </c>
      <c r="J167">
        <f t="shared" ca="1" si="19"/>
        <v>0.1</v>
      </c>
      <c r="K167">
        <f t="shared" ca="1" si="24"/>
        <v>144430000375.65735</v>
      </c>
      <c r="L167" s="4">
        <f t="shared" ca="1" si="21"/>
        <v>0.86290079162860023</v>
      </c>
      <c r="M167">
        <f t="shared" ca="1" si="22"/>
        <v>1.0627060275706122</v>
      </c>
      <c r="N167" t="str">
        <f t="shared" ca="1" si="23"/>
        <v>Accept</v>
      </c>
    </row>
    <row r="168" spans="1:14" x14ac:dyDescent="0.3">
      <c r="A168" t="s">
        <v>178</v>
      </c>
      <c r="B168" t="str" cm="1">
        <f t="array" ref="B168">INDEX([1]Sheet1!$A$2:$A$26, INT((ROW()-5)/10)+1)</f>
        <v>ITC</v>
      </c>
      <c r="C168" t="str">
        <f>VLOOKUP(B168, [1]Sheet1!$A:$B, 2, FALSE)</f>
        <v>FMCG</v>
      </c>
      <c r="D168">
        <f ca="1">VLOOKUP($B168, [1]Sheet1!$A:$F, 3, FALSE) * (RANDBETWEEN(10,25)/100)</f>
        <v>122831100000</v>
      </c>
      <c r="E168">
        <f t="shared" ca="1" si="17"/>
        <v>-122831100000</v>
      </c>
      <c r="F168">
        <f ca="1">VLOOKUP($B168, [1]Sheet1!$A:$F, 4, FALSE) * (RANDBETWEEN(40,70)/100)</f>
        <v>83030399999.999985</v>
      </c>
      <c r="G168">
        <f ca="1">VLOOKUP($B168, [1]Sheet1!$A:$F, 5, FALSE) * (RANDBETWEEN(60,100)/100)</f>
        <v>74857200000</v>
      </c>
      <c r="H168">
        <f t="shared" ca="1" si="16"/>
        <v>88331496000</v>
      </c>
      <c r="I168">
        <f t="shared" ca="1" si="18"/>
        <v>5</v>
      </c>
      <c r="J168">
        <f t="shared" ca="1" si="19"/>
        <v>0.1</v>
      </c>
      <c r="K168">
        <f t="shared" ca="1" si="24"/>
        <v>80881296694.214813</v>
      </c>
      <c r="L168" s="4">
        <f t="shared" ca="1" si="21"/>
        <v>0.44337882654526806</v>
      </c>
      <c r="M168">
        <f t="shared" ca="1" si="22"/>
        <v>1.5316883345890577</v>
      </c>
      <c r="N168" t="str">
        <f t="shared" ca="1" si="23"/>
        <v>Accept</v>
      </c>
    </row>
    <row r="169" spans="1:14" x14ac:dyDescent="0.3">
      <c r="A169" t="s">
        <v>179</v>
      </c>
      <c r="B169" t="str" cm="1">
        <f t="array" ref="B169">INDEX([1]Sheet1!$A$2:$A$26, INT((ROW()-5)/10)+1)</f>
        <v>ITC</v>
      </c>
      <c r="C169" t="str">
        <f>VLOOKUP(B169, [1]Sheet1!$A:$B, 2, FALSE)</f>
        <v>FMCG</v>
      </c>
      <c r="D169">
        <f ca="1">VLOOKUP($B169, [1]Sheet1!$A:$F, 3, FALSE) * (RANDBETWEEN(10,25)/100)</f>
        <v>140378400000</v>
      </c>
      <c r="E169">
        <f t="shared" ca="1" si="17"/>
        <v>-140378400000</v>
      </c>
      <c r="F169">
        <f ca="1">VLOOKUP($B169, [1]Sheet1!$A:$F, 4, FALSE) * (RANDBETWEEN(40,70)/100)</f>
        <v>73656000000</v>
      </c>
      <c r="G169">
        <f ca="1">VLOOKUP($B169, [1]Sheet1!$A:$F, 5, FALSE) * (RANDBETWEEN(60,100)/100)</f>
        <v>68052000000</v>
      </c>
      <c r="H169">
        <f t="shared" ca="1" si="16"/>
        <v>72815640000</v>
      </c>
      <c r="I169">
        <f t="shared" ca="1" si="18"/>
        <v>5</v>
      </c>
      <c r="J169">
        <f t="shared" ca="1" si="19"/>
        <v>0.1</v>
      </c>
      <c r="K169">
        <f t="shared" ca="1" si="24"/>
        <v>37530390383.170502</v>
      </c>
      <c r="L169" s="4">
        <f t="shared" ca="1" si="21"/>
        <v>0.24701240726480611</v>
      </c>
      <c r="M169">
        <f t="shared" ca="1" si="22"/>
        <v>1.9804619996473285</v>
      </c>
      <c r="N169" t="str">
        <f t="shared" ca="1" si="23"/>
        <v>Accept</v>
      </c>
    </row>
    <row r="170" spans="1:14" x14ac:dyDescent="0.3">
      <c r="A170" t="s">
        <v>180</v>
      </c>
      <c r="B170" t="str" cm="1">
        <f t="array" ref="B170">INDEX([1]Sheet1!$A$2:$A$26, INT((ROW()-5)/10)+1)</f>
        <v>ITC</v>
      </c>
      <c r="C170" t="str">
        <f>VLOOKUP(B170, [1]Sheet1!$A:$B, 2, FALSE)</f>
        <v>FMCG</v>
      </c>
      <c r="D170">
        <f ca="1">VLOOKUP($B170, [1]Sheet1!$A:$F, 3, FALSE) * (RANDBETWEEN(10,25)/100)</f>
        <v>116982000000</v>
      </c>
      <c r="E170">
        <f t="shared" ca="1" si="17"/>
        <v>-116982000000</v>
      </c>
      <c r="F170">
        <f ca="1">VLOOKUP($B170, [1]Sheet1!$A:$F, 4, FALSE) * (RANDBETWEEN(40,70)/100)</f>
        <v>83030399999.999985</v>
      </c>
      <c r="G170">
        <f ca="1">VLOOKUP($B170, [1]Sheet1!$A:$F, 5, FALSE) * (RANDBETWEEN(60,100)/100)</f>
        <v>112285800000</v>
      </c>
      <c r="H170">
        <f t="shared" ca="1" si="16"/>
        <v>134742960000</v>
      </c>
      <c r="I170">
        <f t="shared" ca="1" si="18"/>
        <v>5</v>
      </c>
      <c r="J170">
        <f t="shared" ca="1" si="19"/>
        <v>0.1</v>
      </c>
      <c r="K170">
        <f t="shared" ca="1" si="24"/>
        <v>152532743801.65283</v>
      </c>
      <c r="L170" s="4">
        <f t="shared" ca="1" si="21"/>
        <v>0.68505563300200212</v>
      </c>
      <c r="M170">
        <f t="shared" ca="1" si="22"/>
        <v>1.3023677081162535</v>
      </c>
      <c r="N170" t="str">
        <f t="shared" ca="1" si="23"/>
        <v>Accept</v>
      </c>
    </row>
    <row r="171" spans="1:14" x14ac:dyDescent="0.3">
      <c r="A171" t="s">
        <v>181</v>
      </c>
      <c r="B171" t="str" cm="1">
        <f t="array" ref="B171">INDEX([1]Sheet1!$A$2:$A$26, INT((ROW()-5)/10)+1)</f>
        <v>ITC</v>
      </c>
      <c r="C171" t="str">
        <f>VLOOKUP(B171, [1]Sheet1!$A:$B, 2, FALSE)</f>
        <v>FMCG</v>
      </c>
      <c r="D171">
        <f ca="1">VLOOKUP($B171, [1]Sheet1!$A:$F, 3, FALSE) * (RANDBETWEEN(10,25)/100)</f>
        <v>64340100000</v>
      </c>
      <c r="E171">
        <f t="shared" ca="1" si="17"/>
        <v>-64340100000</v>
      </c>
      <c r="F171">
        <f ca="1">VLOOKUP($B171, [1]Sheet1!$A:$F, 4, FALSE) * (RANDBETWEEN(40,70)/100)</f>
        <v>87048000000</v>
      </c>
      <c r="G171">
        <f ca="1">VLOOKUP($B171, [1]Sheet1!$A:$F, 5, FALSE) * (RANDBETWEEN(60,100)/100)</f>
        <v>91870200000</v>
      </c>
      <c r="H171">
        <f t="shared" ca="1" si="16"/>
        <v>98301114000</v>
      </c>
      <c r="I171">
        <f t="shared" ca="1" si="18"/>
        <v>2</v>
      </c>
      <c r="J171">
        <f t="shared" ca="1" si="19"/>
        <v>0.08</v>
      </c>
      <c r="K171">
        <f t="shared" ca="1" si="24"/>
        <v>173058382510.28806</v>
      </c>
      <c r="L171" s="4">
        <f t="shared" ca="1" si="21"/>
        <v>1.2755048522861361</v>
      </c>
      <c r="M171">
        <f t="shared" ca="1" si="22"/>
        <v>1</v>
      </c>
      <c r="N171" t="str">
        <f t="shared" ca="1" si="23"/>
        <v>Accept</v>
      </c>
    </row>
    <row r="172" spans="1:14" x14ac:dyDescent="0.3">
      <c r="A172" t="s">
        <v>182</v>
      </c>
      <c r="B172" t="str" cm="1">
        <f t="array" ref="B172">INDEX([1]Sheet1!$A$2:$A$26, INT((ROW()-5)/10)+1)</f>
        <v>ITC</v>
      </c>
      <c r="C172" t="str">
        <f>VLOOKUP(B172, [1]Sheet1!$A:$B, 2, FALSE)</f>
        <v>FMCG</v>
      </c>
      <c r="D172">
        <f ca="1">VLOOKUP($B172, [1]Sheet1!$A:$F, 3, FALSE) * (RANDBETWEEN(10,25)/100)</f>
        <v>105283800000</v>
      </c>
      <c r="E172">
        <f t="shared" ca="1" si="17"/>
        <v>-105283800000</v>
      </c>
      <c r="F172">
        <f ca="1">VLOOKUP($B172, [1]Sheet1!$A:$F, 4, FALSE) * (RANDBETWEEN(40,70)/100)</f>
        <v>89726400000</v>
      </c>
      <c r="G172">
        <f ca="1">VLOOKUP($B172, [1]Sheet1!$A:$F, 5, FALSE) * (RANDBETWEEN(60,100)/100)</f>
        <v>91870200000</v>
      </c>
      <c r="H172">
        <f t="shared" ca="1" si="16"/>
        <v>107488134000</v>
      </c>
      <c r="I172">
        <f t="shared" ca="1" si="18"/>
        <v>5</v>
      </c>
      <c r="J172">
        <f t="shared" ca="1" si="19"/>
        <v>0.1</v>
      </c>
      <c r="K172">
        <f t="shared" ca="1" si="24"/>
        <v>132968865664.91357</v>
      </c>
      <c r="L172" s="4">
        <f t="shared" ca="1" si="21"/>
        <v>0.71097837379250906</v>
      </c>
      <c r="M172">
        <f t="shared" ca="1" si="22"/>
        <v>1.1693410921060365</v>
      </c>
      <c r="N172" t="str">
        <f t="shared" ca="1" si="23"/>
        <v>Accept</v>
      </c>
    </row>
    <row r="173" spans="1:14" x14ac:dyDescent="0.3">
      <c r="A173" t="s">
        <v>183</v>
      </c>
      <c r="B173" t="str" cm="1">
        <f t="array" ref="B173">INDEX([1]Sheet1!$A$2:$A$26, INT((ROW()-5)/10)+1)</f>
        <v>ITC</v>
      </c>
      <c r="C173" t="str">
        <f>VLOOKUP(B173, [1]Sheet1!$A:$B, 2, FALSE)</f>
        <v>FMCG</v>
      </c>
      <c r="D173">
        <f ca="1">VLOOKUP($B173, [1]Sheet1!$A:$F, 3, FALSE) * (RANDBETWEEN(10,25)/100)</f>
        <v>111132900000</v>
      </c>
      <c r="E173">
        <f t="shared" ca="1" si="17"/>
        <v>-111132900000</v>
      </c>
      <c r="F173">
        <f ca="1">VLOOKUP($B173, [1]Sheet1!$A:$F, 4, FALSE) * (RANDBETWEEN(40,70)/100)</f>
        <v>89726400000</v>
      </c>
      <c r="G173">
        <f ca="1">VLOOKUP($B173, [1]Sheet1!$A:$F, 5, FALSE) * (RANDBETWEEN(60,100)/100)</f>
        <v>94138600000</v>
      </c>
      <c r="H173">
        <f t="shared" ca="1" si="16"/>
        <v>111083548000</v>
      </c>
      <c r="I173">
        <f t="shared" ca="1" si="18"/>
        <v>3</v>
      </c>
      <c r="J173">
        <f t="shared" ca="1" si="19"/>
        <v>0.08</v>
      </c>
      <c r="K173">
        <f t="shared" ca="1" si="24"/>
        <v>140837478118.17303</v>
      </c>
      <c r="L173" s="4">
        <f t="shared" ca="1" si="21"/>
        <v>0.67174289872682857</v>
      </c>
      <c r="M173">
        <f t="shared" ca="1" si="22"/>
        <v>1.2273934390356347</v>
      </c>
      <c r="N173" t="str">
        <f t="shared" ca="1" si="23"/>
        <v>Accept</v>
      </c>
    </row>
    <row r="174" spans="1:14" x14ac:dyDescent="0.3">
      <c r="A174" t="s">
        <v>184</v>
      </c>
      <c r="B174" t="str" cm="1">
        <f t="array" ref="B174">INDEX([1]Sheet1!$A$2:$A$26, INT((ROW()-5)/10)+1)</f>
        <v>ITC</v>
      </c>
      <c r="C174" t="str">
        <f>VLOOKUP(B174, [1]Sheet1!$A:$B, 2, FALSE)</f>
        <v>FMCG</v>
      </c>
      <c r="D174">
        <f ca="1">VLOOKUP($B174, [1]Sheet1!$A:$F, 3, FALSE) * (RANDBETWEEN(10,25)/100)</f>
        <v>134529300000</v>
      </c>
      <c r="E174">
        <f t="shared" ca="1" si="17"/>
        <v>-134529300000</v>
      </c>
      <c r="F174">
        <f ca="1">VLOOKUP($B174, [1]Sheet1!$A:$F, 4, FALSE) * (RANDBETWEEN(40,70)/100)</f>
        <v>89726400000</v>
      </c>
      <c r="G174">
        <f ca="1">VLOOKUP($B174, [1]Sheet1!$A:$F, 5, FALSE) * (RANDBETWEEN(60,100)/100)</f>
        <v>80528200000</v>
      </c>
      <c r="H174">
        <f t="shared" ca="1" si="16"/>
        <v>87775738000</v>
      </c>
      <c r="I174">
        <f t="shared" ca="1" si="18"/>
        <v>2</v>
      </c>
      <c r="J174">
        <f t="shared" ca="1" si="19"/>
        <v>0.08</v>
      </c>
      <c r="K174">
        <f t="shared" ca="1" si="24"/>
        <v>87269862792.76532</v>
      </c>
      <c r="L174" s="4">
        <f t="shared" ca="1" si="21"/>
        <v>0.41549406086480967</v>
      </c>
      <c r="M174">
        <f t="shared" ca="1" si="22"/>
        <v>1.5563628641891909</v>
      </c>
      <c r="N174" t="str">
        <f t="shared" ca="1" si="23"/>
        <v>Accept</v>
      </c>
    </row>
    <row r="175" spans="1:14" x14ac:dyDescent="0.3">
      <c r="A175" t="s">
        <v>185</v>
      </c>
      <c r="B175" t="str" cm="1">
        <f t="array" ref="B175">INDEX([1]Sheet1!$A$2:$A$26, INT((ROW()-5)/10)+1)</f>
        <v>Nestle India</v>
      </c>
      <c r="C175" t="str">
        <f>VLOOKUP(B175, [1]Sheet1!$A:$B, 2, FALSE)</f>
        <v>FMCG</v>
      </c>
      <c r="D175">
        <f ca="1">VLOOKUP($B175, [1]Sheet1!$A:$F, 3, FALSE) * (RANDBETWEEN(10,25)/100)</f>
        <v>150508800000</v>
      </c>
      <c r="E175">
        <f t="shared" ca="1" si="17"/>
        <v>-150508800000</v>
      </c>
      <c r="F175">
        <f ca="1">VLOOKUP($B175, [1]Sheet1!$A:$F, 4, FALSE) * (RANDBETWEEN(40,70)/100)</f>
        <v>79617600000</v>
      </c>
      <c r="G175">
        <f ca="1">VLOOKUP($B175, [1]Sheet1!$A:$F, 5, FALSE) * (RANDBETWEEN(60,100)/100)</f>
        <v>66599800000</v>
      </c>
      <c r="H175">
        <f t="shared" ca="1" si="16"/>
        <v>75923772000.000015</v>
      </c>
      <c r="I175">
        <f t="shared" ca="1" si="18"/>
        <v>5</v>
      </c>
      <c r="J175">
        <f t="shared" ca="1" si="19"/>
        <v>0.1</v>
      </c>
      <c r="K175">
        <f t="shared" ca="1" si="24"/>
        <v>33954647032.306519</v>
      </c>
      <c r="L175" s="4">
        <f t="shared" ca="1" si="21"/>
        <v>0.22574360713657016</v>
      </c>
      <c r="M175">
        <f t="shared" ca="1" si="22"/>
        <v>2.0565224815226513</v>
      </c>
      <c r="N175" t="str">
        <f t="shared" ca="1" si="23"/>
        <v>Accept</v>
      </c>
    </row>
    <row r="176" spans="1:14" x14ac:dyDescent="0.3">
      <c r="A176" t="s">
        <v>186</v>
      </c>
      <c r="B176" t="str" cm="1">
        <f t="array" ref="B176">INDEX([1]Sheet1!$A$2:$A$26, INT((ROW()-5)/10)+1)</f>
        <v>Nestle India</v>
      </c>
      <c r="C176" t="str">
        <f>VLOOKUP(B176, [1]Sheet1!$A:$B, 2, FALSE)</f>
        <v>FMCG</v>
      </c>
      <c r="D176">
        <f ca="1">VLOOKUP($B176, [1]Sheet1!$A:$F, 3, FALSE) * (RANDBETWEEN(10,25)/100)</f>
        <v>119152800000</v>
      </c>
      <c r="E176">
        <f t="shared" ca="1" si="17"/>
        <v>-119152800000</v>
      </c>
      <c r="F176">
        <f ca="1">VLOOKUP($B176, [1]Sheet1!$A:$F, 4, FALSE) * (RANDBETWEEN(40,70)/100)</f>
        <v>89395200000</v>
      </c>
      <c r="G176">
        <f ca="1">VLOOKUP($B176, [1]Sheet1!$A:$F, 5, FALSE) * (RANDBETWEEN(60,100)/100)</f>
        <v>74242400000</v>
      </c>
      <c r="H176">
        <f t="shared" ca="1" si="16"/>
        <v>79439368000</v>
      </c>
      <c r="I176">
        <f t="shared" ca="1" si="18"/>
        <v>2</v>
      </c>
      <c r="J176">
        <f t="shared" ca="1" si="19"/>
        <v>0.08</v>
      </c>
      <c r="K176">
        <f t="shared" ca="1" si="24"/>
        <v>90332956490.372375</v>
      </c>
      <c r="L176" s="4">
        <f t="shared" ca="1" si="21"/>
        <v>0.47742835002653172</v>
      </c>
      <c r="M176">
        <f t="shared" ca="1" si="22"/>
        <v>1.4008167839401744</v>
      </c>
      <c r="N176" t="str">
        <f t="shared" ca="1" si="23"/>
        <v>Accept</v>
      </c>
    </row>
    <row r="177" spans="1:14" x14ac:dyDescent="0.3">
      <c r="A177" t="s">
        <v>187</v>
      </c>
      <c r="B177" t="str" cm="1">
        <f t="array" ref="B177">INDEX([1]Sheet1!$A$2:$A$26, INT((ROW()-5)/10)+1)</f>
        <v>Nestle India</v>
      </c>
      <c r="C177" t="str">
        <f>VLOOKUP(B177, [1]Sheet1!$A:$B, 2, FALSE)</f>
        <v>FMCG</v>
      </c>
      <c r="D177">
        <f ca="1">VLOOKUP($B177, [1]Sheet1!$A:$F, 3, FALSE) * (RANDBETWEEN(10,25)/100)</f>
        <v>131695200000</v>
      </c>
      <c r="E177">
        <f t="shared" ca="1" si="17"/>
        <v>-131695200000</v>
      </c>
      <c r="F177">
        <f ca="1">VLOOKUP($B177, [1]Sheet1!$A:$F, 4, FALSE) * (RANDBETWEEN(40,70)/100)</f>
        <v>61459200000</v>
      </c>
      <c r="G177">
        <f ca="1">VLOOKUP($B177, [1]Sheet1!$A:$F, 5, FALSE) * (RANDBETWEEN(60,100)/100)</f>
        <v>73150600000</v>
      </c>
      <c r="H177">
        <f t="shared" ca="1" si="16"/>
        <v>78271142000</v>
      </c>
      <c r="I177">
        <f t="shared" ca="1" si="18"/>
        <v>4</v>
      </c>
      <c r="J177">
        <f t="shared" ca="1" si="19"/>
        <v>0.1</v>
      </c>
      <c r="K177">
        <f t="shared" ca="1" si="24"/>
        <v>43438108790.383118</v>
      </c>
      <c r="L177" s="4">
        <f t="shared" ca="1" si="21"/>
        <v>0.27131619255749184</v>
      </c>
      <c r="M177">
        <f t="shared" ca="1" si="22"/>
        <v>1.960156170967839</v>
      </c>
      <c r="N177" t="str">
        <f t="shared" ca="1" si="23"/>
        <v>Accept</v>
      </c>
    </row>
    <row r="178" spans="1:14" x14ac:dyDescent="0.3">
      <c r="A178" t="s">
        <v>188</v>
      </c>
      <c r="B178" t="str" cm="1">
        <f t="array" ref="B178">INDEX([1]Sheet1!$A$2:$A$26, INT((ROW()-5)/10)+1)</f>
        <v>Nestle India</v>
      </c>
      <c r="C178" t="str">
        <f>VLOOKUP(B178, [1]Sheet1!$A:$B, 2, FALSE)</f>
        <v>FMCG</v>
      </c>
      <c r="D178">
        <f ca="1">VLOOKUP($B178, [1]Sheet1!$A:$F, 3, FALSE) * (RANDBETWEEN(10,25)/100)</f>
        <v>150508800000</v>
      </c>
      <c r="E178">
        <f t="shared" ca="1" si="17"/>
        <v>-150508800000</v>
      </c>
      <c r="F178">
        <f ca="1">VLOOKUP($B178, [1]Sheet1!$A:$F, 4, FALSE) * (RANDBETWEEN(40,70)/100)</f>
        <v>92188800000</v>
      </c>
      <c r="G178">
        <f ca="1">VLOOKUP($B178, [1]Sheet1!$A:$F, 5, FALSE) * (RANDBETWEEN(60,100)/100)</f>
        <v>69875200000</v>
      </c>
      <c r="H178">
        <f t="shared" ca="1" si="16"/>
        <v>81055232000</v>
      </c>
      <c r="I178">
        <f t="shared" ca="1" si="18"/>
        <v>5</v>
      </c>
      <c r="J178">
        <f t="shared" ca="1" si="19"/>
        <v>0.1</v>
      </c>
      <c r="K178">
        <f t="shared" ca="1" si="24"/>
        <v>51945294665.664886</v>
      </c>
      <c r="L178" s="4">
        <f t="shared" ca="1" si="21"/>
        <v>0.29339084942206917</v>
      </c>
      <c r="M178">
        <f t="shared" ca="1" si="22"/>
        <v>1.8346308847774317</v>
      </c>
      <c r="N178" t="str">
        <f t="shared" ca="1" si="23"/>
        <v>Accept</v>
      </c>
    </row>
    <row r="179" spans="1:14" x14ac:dyDescent="0.3">
      <c r="A179" t="s">
        <v>189</v>
      </c>
      <c r="B179" t="str" cm="1">
        <f t="array" ref="B179">INDEX([1]Sheet1!$A$2:$A$26, INT((ROW()-5)/10)+1)</f>
        <v>Nestle India</v>
      </c>
      <c r="C179" t="str">
        <f>VLOOKUP(B179, [1]Sheet1!$A:$B, 2, FALSE)</f>
        <v>FMCG</v>
      </c>
      <c r="D179">
        <f ca="1">VLOOKUP($B179, [1]Sheet1!$A:$F, 3, FALSE) * (RANDBETWEEN(10,25)/100)</f>
        <v>100339200000</v>
      </c>
      <c r="E179">
        <f t="shared" ca="1" si="17"/>
        <v>-100339200000</v>
      </c>
      <c r="F179">
        <f ca="1">VLOOKUP($B179, [1]Sheet1!$A:$F, 4, FALSE) * (RANDBETWEEN(40,70)/100)</f>
        <v>71236800000</v>
      </c>
      <c r="G179">
        <f ca="1">VLOOKUP($B179, [1]Sheet1!$A:$F, 5, FALSE) * (RANDBETWEEN(60,100)/100)</f>
        <v>87344000000</v>
      </c>
      <c r="H179">
        <f t="shared" ca="1" si="16"/>
        <v>92584640000</v>
      </c>
      <c r="I179">
        <f t="shared" ca="1" si="18"/>
        <v>5</v>
      </c>
      <c r="J179">
        <f t="shared" ca="1" si="19"/>
        <v>0.1</v>
      </c>
      <c r="K179">
        <f t="shared" ca="1" si="24"/>
        <v>106166861607.81363</v>
      </c>
      <c r="L179" s="4">
        <f t="shared" ca="1" si="21"/>
        <v>0.60809339565783804</v>
      </c>
      <c r="M179">
        <f t="shared" ca="1" si="22"/>
        <v>1.3331928924711485</v>
      </c>
      <c r="N179" t="str">
        <f t="shared" ca="1" si="23"/>
        <v>Accept</v>
      </c>
    </row>
    <row r="180" spans="1:14" x14ac:dyDescent="0.3">
      <c r="A180" t="s">
        <v>190</v>
      </c>
      <c r="B180" t="str" cm="1">
        <f t="array" ref="B180">INDEX([1]Sheet1!$A$2:$A$26, INT((ROW()-5)/10)+1)</f>
        <v>Nestle India</v>
      </c>
      <c r="C180" t="str">
        <f>VLOOKUP(B180, [1]Sheet1!$A:$B, 2, FALSE)</f>
        <v>FMCG</v>
      </c>
      <c r="D180">
        <f ca="1">VLOOKUP($B180, [1]Sheet1!$A:$F, 3, FALSE) * (RANDBETWEEN(10,25)/100)</f>
        <v>81525600000</v>
      </c>
      <c r="E180">
        <f t="shared" ca="1" si="17"/>
        <v>-81525600000</v>
      </c>
      <c r="F180">
        <f ca="1">VLOOKUP($B180, [1]Sheet1!$A:$F, 4, FALSE) * (RANDBETWEEN(40,70)/100)</f>
        <v>57268800000</v>
      </c>
      <c r="G180">
        <f ca="1">VLOOKUP($B180, [1]Sheet1!$A:$F, 5, FALSE) * (RANDBETWEEN(60,100)/100)</f>
        <v>106996400000</v>
      </c>
      <c r="H180">
        <f t="shared" ca="1" si="16"/>
        <v>121975896000.00002</v>
      </c>
      <c r="I180">
        <f t="shared" ca="1" si="18"/>
        <v>3</v>
      </c>
      <c r="J180">
        <f t="shared" ca="1" si="19"/>
        <v>0.08</v>
      </c>
      <c r="K180">
        <f t="shared" ca="1" si="24"/>
        <v>160061632891.32751</v>
      </c>
      <c r="L180" s="4">
        <f t="shared" ca="1" si="21"/>
        <v>0.8494829358616931</v>
      </c>
      <c r="M180">
        <f t="shared" ca="1" si="22"/>
        <v>1.2267066929354633</v>
      </c>
      <c r="N180" t="str">
        <f t="shared" ca="1" si="23"/>
        <v>Accept</v>
      </c>
    </row>
    <row r="181" spans="1:14" x14ac:dyDescent="0.3">
      <c r="A181" t="s">
        <v>191</v>
      </c>
      <c r="B181" t="str" cm="1">
        <f t="array" ref="B181">INDEX([1]Sheet1!$A$2:$A$26, INT((ROW()-5)/10)+1)</f>
        <v>Nestle India</v>
      </c>
      <c r="C181" t="str">
        <f>VLOOKUP(B181, [1]Sheet1!$A:$B, 2, FALSE)</f>
        <v>FMCG</v>
      </c>
      <c r="D181">
        <f ca="1">VLOOKUP($B181, [1]Sheet1!$A:$F, 3, FALSE) * (RANDBETWEEN(10,25)/100)</f>
        <v>100339200000</v>
      </c>
      <c r="E181">
        <f t="shared" ca="1" si="17"/>
        <v>-100339200000</v>
      </c>
      <c r="F181">
        <f ca="1">VLOOKUP($B181, [1]Sheet1!$A:$F, 4, FALSE) * (RANDBETWEEN(40,70)/100)</f>
        <v>67046400000</v>
      </c>
      <c r="G181">
        <f ca="1">VLOOKUP($B181, [1]Sheet1!$A:$F, 5, FALSE) * (RANDBETWEEN(60,100)/100)</f>
        <v>78609600000</v>
      </c>
      <c r="H181">
        <f t="shared" ca="1" si="16"/>
        <v>87256656000.000015</v>
      </c>
      <c r="I181">
        <f t="shared" ca="1" si="18"/>
        <v>2</v>
      </c>
      <c r="J181">
        <f t="shared" ca="1" si="19"/>
        <v>0.08</v>
      </c>
      <c r="K181">
        <f t="shared" ca="1" si="24"/>
        <v>98403008504.801086</v>
      </c>
      <c r="L181" s="4">
        <f t="shared" ca="1" si="21"/>
        <v>0.54199601676590237</v>
      </c>
      <c r="M181">
        <f t="shared" ca="1" si="22"/>
        <v>1.4235207913537278</v>
      </c>
      <c r="N181" t="str">
        <f t="shared" ca="1" si="23"/>
        <v>Accept</v>
      </c>
    </row>
    <row r="182" spans="1:14" x14ac:dyDescent="0.3">
      <c r="A182" t="s">
        <v>192</v>
      </c>
      <c r="B182" t="str" cm="1">
        <f t="array" ref="B182">INDEX([1]Sheet1!$A$2:$A$26, INT((ROW()-5)/10)+1)</f>
        <v>Nestle India</v>
      </c>
      <c r="C182" t="str">
        <f>VLOOKUP(B182, [1]Sheet1!$A:$B, 2, FALSE)</f>
        <v>FMCG</v>
      </c>
      <c r="D182">
        <f ca="1">VLOOKUP($B182, [1]Sheet1!$A:$F, 3, FALSE) * (RANDBETWEEN(10,25)/100)</f>
        <v>94068000000</v>
      </c>
      <c r="E182">
        <f t="shared" ca="1" si="17"/>
        <v>-94068000000</v>
      </c>
      <c r="F182">
        <f ca="1">VLOOKUP($B182, [1]Sheet1!$A:$F, 4, FALSE) * (RANDBETWEEN(40,70)/100)</f>
        <v>76824000000</v>
      </c>
      <c r="G182">
        <f ca="1">VLOOKUP($B182, [1]Sheet1!$A:$F, 5, FALSE) * (RANDBETWEEN(60,100)/100)</f>
        <v>91711200000</v>
      </c>
      <c r="H182">
        <f t="shared" ca="1" si="16"/>
        <v>96296760000</v>
      </c>
      <c r="I182">
        <f t="shared" ca="1" si="18"/>
        <v>5</v>
      </c>
      <c r="J182">
        <f t="shared" ca="1" si="19"/>
        <v>0.1</v>
      </c>
      <c r="K182">
        <f t="shared" ca="1" si="24"/>
        <v>123915561232.15625</v>
      </c>
      <c r="L182" s="4">
        <f t="shared" ca="1" si="21"/>
        <v>0.72552020757290436</v>
      </c>
      <c r="M182">
        <f t="shared" ca="1" si="22"/>
        <v>1.1880250176641458</v>
      </c>
      <c r="N182" t="str">
        <f t="shared" ca="1" si="23"/>
        <v>Accept</v>
      </c>
    </row>
    <row r="183" spans="1:14" x14ac:dyDescent="0.3">
      <c r="A183" t="s">
        <v>193</v>
      </c>
      <c r="B183" t="str" cm="1">
        <f t="array" ref="B183">INDEX([1]Sheet1!$A$2:$A$26, INT((ROW()-5)/10)+1)</f>
        <v>Nestle India</v>
      </c>
      <c r="C183" t="str">
        <f>VLOOKUP(B183, [1]Sheet1!$A:$B, 2, FALSE)</f>
        <v>FMCG</v>
      </c>
      <c r="D183">
        <f ca="1">VLOOKUP($B183, [1]Sheet1!$A:$F, 3, FALSE) * (RANDBETWEEN(10,25)/100)</f>
        <v>119152800000</v>
      </c>
      <c r="E183">
        <f t="shared" ca="1" si="17"/>
        <v>-119152800000</v>
      </c>
      <c r="F183">
        <f ca="1">VLOOKUP($B183, [1]Sheet1!$A:$F, 4, FALSE) * (RANDBETWEEN(40,70)/100)</f>
        <v>83808000000</v>
      </c>
      <c r="G183">
        <f ca="1">VLOOKUP($B183, [1]Sheet1!$A:$F, 5, FALSE) * (RANDBETWEEN(60,100)/100)</f>
        <v>91711200000</v>
      </c>
      <c r="H183">
        <f t="shared" ref="H183:H246" ca="1" si="25">G183 * (1 + RANDBETWEEN(5,20)/100)</f>
        <v>108219216000</v>
      </c>
      <c r="I183">
        <f t="shared" ca="1" si="18"/>
        <v>3</v>
      </c>
      <c r="J183">
        <f t="shared" ca="1" si="19"/>
        <v>0.08</v>
      </c>
      <c r="K183">
        <f t="shared" ca="1" si="24"/>
        <v>122982674775.18668</v>
      </c>
      <c r="L183" s="4">
        <f t="shared" ca="1" si="21"/>
        <v>0.56556501306562601</v>
      </c>
      <c r="M183">
        <f t="shared" ca="1" si="22"/>
        <v>1.3853924057258</v>
      </c>
      <c r="N183" t="str">
        <f t="shared" ca="1" si="23"/>
        <v>Accept</v>
      </c>
    </row>
    <row r="184" spans="1:14" x14ac:dyDescent="0.3">
      <c r="A184" t="s">
        <v>194</v>
      </c>
      <c r="B184" t="str" cm="1">
        <f t="array" ref="B184">INDEX([1]Sheet1!$A$2:$A$26, INT((ROW()-5)/10)+1)</f>
        <v>Nestle India</v>
      </c>
      <c r="C184" t="str">
        <f>VLOOKUP(B184, [1]Sheet1!$A:$B, 2, FALSE)</f>
        <v>FMCG</v>
      </c>
      <c r="D184">
        <f ca="1">VLOOKUP($B184, [1]Sheet1!$A:$F, 3, FALSE) * (RANDBETWEEN(10,25)/100)</f>
        <v>68983200000</v>
      </c>
      <c r="E184">
        <f t="shared" ca="1" si="17"/>
        <v>-68983200000</v>
      </c>
      <c r="F184">
        <f ca="1">VLOOKUP($B184, [1]Sheet1!$A:$F, 4, FALSE) * (RANDBETWEEN(40,70)/100)</f>
        <v>76824000000</v>
      </c>
      <c r="G184">
        <f ca="1">VLOOKUP($B184, [1]Sheet1!$A:$F, 5, FALSE) * (RANDBETWEEN(60,100)/100)</f>
        <v>101537400000</v>
      </c>
      <c r="H184">
        <f t="shared" ca="1" si="25"/>
        <v>115752636000.00002</v>
      </c>
      <c r="I184">
        <f t="shared" ca="1" si="18"/>
        <v>3</v>
      </c>
      <c r="J184">
        <f t="shared" ca="1" si="19"/>
        <v>0.08</v>
      </c>
      <c r="K184">
        <f t="shared" ca="1" si="24"/>
        <v>181090262505.71558</v>
      </c>
      <c r="L184" s="4">
        <f t="shared" ca="1" si="21"/>
        <v>1.1568203363830918</v>
      </c>
      <c r="M184">
        <f t="shared" ca="1" si="22"/>
        <v>1</v>
      </c>
      <c r="N184" t="str">
        <f t="shared" ca="1" si="23"/>
        <v>Accept</v>
      </c>
    </row>
    <row r="185" spans="1:14" x14ac:dyDescent="0.3">
      <c r="A185" t="s">
        <v>195</v>
      </c>
      <c r="B185" t="str" cm="1">
        <f t="array" ref="B185">INDEX([1]Sheet1!$A$2:$A$26, INT((ROW()-5)/10)+1)</f>
        <v>Dabur</v>
      </c>
      <c r="C185" t="str">
        <f>VLOOKUP(B185, [1]Sheet1!$A:$B, 2, FALSE)</f>
        <v>FMCG</v>
      </c>
      <c r="D185">
        <f ca="1">VLOOKUP($B185, [1]Sheet1!$A:$F, 3, FALSE) * (RANDBETWEEN(10,25)/100)</f>
        <v>123373800000</v>
      </c>
      <c r="E185">
        <f t="shared" ca="1" si="17"/>
        <v>-123373800000</v>
      </c>
      <c r="F185">
        <f ca="1">VLOOKUP($B185, [1]Sheet1!$A:$F, 4, FALSE) * (RANDBETWEEN(40,70)/100)</f>
        <v>71971200000</v>
      </c>
      <c r="G185">
        <f ca="1">VLOOKUP($B185, [1]Sheet1!$A:$F, 5, FALSE) * (RANDBETWEEN(60,100)/100)</f>
        <v>62073600000</v>
      </c>
      <c r="H185">
        <f t="shared" ca="1" si="25"/>
        <v>67039488000.000008</v>
      </c>
      <c r="I185">
        <f t="shared" ca="1" si="18"/>
        <v>2</v>
      </c>
      <c r="J185">
        <f t="shared" ca="1" si="19"/>
        <v>0.08</v>
      </c>
      <c r="K185">
        <f t="shared" ca="1" si="24"/>
        <v>49702413991.769531</v>
      </c>
      <c r="L185" s="4">
        <f t="shared" ca="1" si="21"/>
        <v>0.29549828682969004</v>
      </c>
      <c r="M185">
        <f t="shared" ca="1" si="22"/>
        <v>1.8280911691927004</v>
      </c>
      <c r="N185" t="str">
        <f t="shared" ca="1" si="23"/>
        <v>Accept</v>
      </c>
    </row>
    <row r="186" spans="1:14" x14ac:dyDescent="0.3">
      <c r="A186" t="s">
        <v>196</v>
      </c>
      <c r="B186" t="str" cm="1">
        <f t="array" ref="B186">INDEX([1]Sheet1!$A$2:$A$26, INT((ROW()-5)/10)+1)</f>
        <v>Dabur</v>
      </c>
      <c r="C186" t="str">
        <f>VLOOKUP(B186, [1]Sheet1!$A:$B, 2, FALSE)</f>
        <v>FMCG</v>
      </c>
      <c r="D186">
        <f ca="1">VLOOKUP($B186, [1]Sheet1!$A:$F, 3, FALSE) * (RANDBETWEEN(10,25)/100)</f>
        <v>112158000000</v>
      </c>
      <c r="E186">
        <f t="shared" ca="1" si="17"/>
        <v>-112158000000</v>
      </c>
      <c r="F186">
        <f ca="1">VLOOKUP($B186, [1]Sheet1!$A:$F, 4, FALSE) * (RANDBETWEEN(40,70)/100)</f>
        <v>57859200000</v>
      </c>
      <c r="G186">
        <f ca="1">VLOOKUP($B186, [1]Sheet1!$A:$F, 5, FALSE) * (RANDBETWEEN(60,100)/100)</f>
        <v>84460800000</v>
      </c>
      <c r="H186">
        <f t="shared" ca="1" si="25"/>
        <v>92062272000</v>
      </c>
      <c r="I186">
        <f t="shared" ca="1" si="18"/>
        <v>3</v>
      </c>
      <c r="J186">
        <f t="shared" ca="1" si="19"/>
        <v>0.08</v>
      </c>
      <c r="K186">
        <f t="shared" ca="1" si="24"/>
        <v>86908855662.246582</v>
      </c>
      <c r="L186" s="4">
        <f t="shared" ca="1" si="21"/>
        <v>0.43721767791538046</v>
      </c>
      <c r="M186">
        <f t="shared" ca="1" si="22"/>
        <v>1.6428875880882019</v>
      </c>
      <c r="N186" t="str">
        <f t="shared" ca="1" si="23"/>
        <v>Accept</v>
      </c>
    </row>
    <row r="187" spans="1:14" x14ac:dyDescent="0.3">
      <c r="A187" t="s">
        <v>197</v>
      </c>
      <c r="B187" t="str" cm="1">
        <f t="array" ref="B187">INDEX([1]Sheet1!$A$2:$A$26, INT((ROW()-5)/10)+1)</f>
        <v>Dabur</v>
      </c>
      <c r="C187" t="str">
        <f>VLOOKUP(B187, [1]Sheet1!$A:$B, 2, FALSE)</f>
        <v>FMCG</v>
      </c>
      <c r="D187">
        <f ca="1">VLOOKUP($B187, [1]Sheet1!$A:$F, 3, FALSE) * (RANDBETWEEN(10,25)/100)</f>
        <v>67294800000</v>
      </c>
      <c r="E187">
        <f t="shared" ca="1" si="17"/>
        <v>-67294800000</v>
      </c>
      <c r="F187">
        <f ca="1">VLOOKUP($B187, [1]Sheet1!$A:$F, 4, FALSE) * (RANDBETWEEN(40,70)/100)</f>
        <v>59270400000</v>
      </c>
      <c r="G187">
        <f ca="1">VLOOKUP($B187, [1]Sheet1!$A:$F, 5, FALSE) * (RANDBETWEEN(60,100)/100)</f>
        <v>77337600000</v>
      </c>
      <c r="H187">
        <f t="shared" ca="1" si="25"/>
        <v>91258368000</v>
      </c>
      <c r="I187">
        <f t="shared" ca="1" si="18"/>
        <v>3</v>
      </c>
      <c r="J187">
        <f t="shared" ca="1" si="19"/>
        <v>0.08</v>
      </c>
      <c r="K187">
        <f t="shared" ca="1" si="24"/>
        <v>126333561530.25452</v>
      </c>
      <c r="L187" s="4">
        <f t="shared" ca="1" si="21"/>
        <v>0.87754334713525539</v>
      </c>
      <c r="M187">
        <f t="shared" ca="1" si="22"/>
        <v>1.1037580685203574</v>
      </c>
      <c r="N187" t="str">
        <f t="shared" ca="1" si="23"/>
        <v>Accept</v>
      </c>
    </row>
    <row r="188" spans="1:14" x14ac:dyDescent="0.3">
      <c r="A188" t="s">
        <v>198</v>
      </c>
      <c r="B188" t="str" cm="1">
        <f t="array" ref="B188">INDEX([1]Sheet1!$A$2:$A$26, INT((ROW()-5)/10)+1)</f>
        <v>Dabur</v>
      </c>
      <c r="C188" t="str">
        <f>VLOOKUP(B188, [1]Sheet1!$A:$B, 2, FALSE)</f>
        <v>FMCG</v>
      </c>
      <c r="D188">
        <f ca="1">VLOOKUP($B188, [1]Sheet1!$A:$F, 3, FALSE) * (RANDBETWEEN(10,25)/100)</f>
        <v>117765900000</v>
      </c>
      <c r="E188">
        <f t="shared" ca="1" si="17"/>
        <v>-117765900000</v>
      </c>
      <c r="F188">
        <f ca="1">VLOOKUP($B188, [1]Sheet1!$A:$F, 4, FALSE) * (RANDBETWEEN(40,70)/100)</f>
        <v>79027200000</v>
      </c>
      <c r="G188">
        <f ca="1">VLOOKUP($B188, [1]Sheet1!$A:$F, 5, FALSE) * (RANDBETWEEN(60,100)/100)</f>
        <v>75302400000</v>
      </c>
      <c r="H188">
        <f t="shared" ca="1" si="25"/>
        <v>82832640000</v>
      </c>
      <c r="I188">
        <f t="shared" ca="1" si="18"/>
        <v>5</v>
      </c>
      <c r="J188">
        <f t="shared" ca="1" si="19"/>
        <v>0.1</v>
      </c>
      <c r="K188">
        <f t="shared" ca="1" si="24"/>
        <v>78543785950.413208</v>
      </c>
      <c r="L188" s="4">
        <f t="shared" ca="1" si="21"/>
        <v>0.44806106725876016</v>
      </c>
      <c r="M188">
        <f t="shared" ca="1" si="22"/>
        <v>1.514441770780214</v>
      </c>
      <c r="N188" t="str">
        <f t="shared" ca="1" si="23"/>
        <v>Accept</v>
      </c>
    </row>
    <row r="189" spans="1:14" x14ac:dyDescent="0.3">
      <c r="A189" t="s">
        <v>199</v>
      </c>
      <c r="B189" t="str" cm="1">
        <f t="array" ref="B189">INDEX([1]Sheet1!$A$2:$A$26, INT((ROW()-5)/10)+1)</f>
        <v>Dabur</v>
      </c>
      <c r="C189" t="str">
        <f>VLOOKUP(B189, [1]Sheet1!$A:$B, 2, FALSE)</f>
        <v>FMCG</v>
      </c>
      <c r="D189">
        <f ca="1">VLOOKUP($B189, [1]Sheet1!$A:$F, 3, FALSE) * (RANDBETWEEN(10,25)/100)</f>
        <v>140197500000</v>
      </c>
      <c r="E189">
        <f t="shared" ca="1" si="17"/>
        <v>-140197500000</v>
      </c>
      <c r="F189">
        <f ca="1">VLOOKUP($B189, [1]Sheet1!$A:$F, 4, FALSE) * (RANDBETWEEN(40,70)/100)</f>
        <v>76204800000</v>
      </c>
      <c r="G189">
        <f ca="1">VLOOKUP($B189, [1]Sheet1!$A:$F, 5, FALSE) * (RANDBETWEEN(60,100)/100)</f>
        <v>90566400000</v>
      </c>
      <c r="H189">
        <f t="shared" ca="1" si="25"/>
        <v>95094720000</v>
      </c>
      <c r="I189">
        <f t="shared" ca="1" si="18"/>
        <v>3</v>
      </c>
      <c r="J189">
        <f t="shared" ca="1" si="19"/>
        <v>0.08</v>
      </c>
      <c r="K189">
        <f t="shared" ca="1" si="24"/>
        <v>83497845221.764954</v>
      </c>
      <c r="L189" s="4">
        <f t="shared" ca="1" si="21"/>
        <v>0.37346137003465474</v>
      </c>
      <c r="M189">
        <f t="shared" ca="1" si="22"/>
        <v>1.7065832361670554</v>
      </c>
      <c r="N189" t="str">
        <f t="shared" ca="1" si="23"/>
        <v>Accept</v>
      </c>
    </row>
    <row r="190" spans="1:14" x14ac:dyDescent="0.3">
      <c r="A190" t="s">
        <v>200</v>
      </c>
      <c r="B190" t="str" cm="1">
        <f t="array" ref="B190">INDEX([1]Sheet1!$A$2:$A$26, INT((ROW()-5)/10)+1)</f>
        <v>Dabur</v>
      </c>
      <c r="C190" t="str">
        <f>VLOOKUP(B190, [1]Sheet1!$A:$B, 2, FALSE)</f>
        <v>FMCG</v>
      </c>
      <c r="D190">
        <f ca="1">VLOOKUP($B190, [1]Sheet1!$A:$F, 3, FALSE) * (RANDBETWEEN(10,25)/100)</f>
        <v>134589600000</v>
      </c>
      <c r="E190">
        <f t="shared" ca="1" si="17"/>
        <v>-134589600000</v>
      </c>
      <c r="F190">
        <f ca="1">VLOOKUP($B190, [1]Sheet1!$A:$F, 4, FALSE) * (RANDBETWEEN(40,70)/100)</f>
        <v>83260800000</v>
      </c>
      <c r="G190">
        <f ca="1">VLOOKUP($B190, [1]Sheet1!$A:$F, 5, FALSE) * (RANDBETWEEN(60,100)/100)</f>
        <v>99724800000</v>
      </c>
      <c r="H190">
        <f t="shared" ca="1" si="25"/>
        <v>118672512000</v>
      </c>
      <c r="I190">
        <f t="shared" ca="1" si="18"/>
        <v>3</v>
      </c>
      <c r="J190">
        <f t="shared" ca="1" si="19"/>
        <v>0.08</v>
      </c>
      <c r="K190">
        <f t="shared" ca="1" si="24"/>
        <v>122207741868.61758</v>
      </c>
      <c r="L190" s="4">
        <f t="shared" ca="1" si="21"/>
        <v>0.50242149074894238</v>
      </c>
      <c r="M190">
        <f t="shared" ca="1" si="22"/>
        <v>1.5147044666923373</v>
      </c>
      <c r="N190" t="str">
        <f t="shared" ca="1" si="23"/>
        <v>Accept</v>
      </c>
    </row>
    <row r="191" spans="1:14" x14ac:dyDescent="0.3">
      <c r="A191" t="s">
        <v>201</v>
      </c>
      <c r="B191" t="str" cm="1">
        <f t="array" ref="B191">INDEX([1]Sheet1!$A$2:$A$26, INT((ROW()-5)/10)+1)</f>
        <v>Dabur</v>
      </c>
      <c r="C191" t="str">
        <f>VLOOKUP(B191, [1]Sheet1!$A:$B, 2, FALSE)</f>
        <v>FMCG</v>
      </c>
      <c r="D191">
        <f ca="1">VLOOKUP($B191, [1]Sheet1!$A:$F, 3, FALSE) * (RANDBETWEEN(10,25)/100)</f>
        <v>128981700000</v>
      </c>
      <c r="E191">
        <f t="shared" ca="1" si="17"/>
        <v>-128981700000</v>
      </c>
      <c r="F191">
        <f ca="1">VLOOKUP($B191, [1]Sheet1!$A:$F, 4, FALSE) * (RANDBETWEEN(40,70)/100)</f>
        <v>90316800000</v>
      </c>
      <c r="G191">
        <f ca="1">VLOOKUP($B191, [1]Sheet1!$A:$F, 5, FALSE) * (RANDBETWEEN(60,100)/100)</f>
        <v>81408000000</v>
      </c>
      <c r="H191">
        <f t="shared" ca="1" si="25"/>
        <v>94433280000</v>
      </c>
      <c r="I191">
        <f t="shared" ca="1" si="18"/>
        <v>3</v>
      </c>
      <c r="J191">
        <f t="shared" ca="1" si="19"/>
        <v>0.08</v>
      </c>
      <c r="K191">
        <f t="shared" ca="1" si="24"/>
        <v>99403387639.079376</v>
      </c>
      <c r="L191" s="4">
        <f t="shared" ca="1" si="21"/>
        <v>0.4690901263430447</v>
      </c>
      <c r="M191">
        <f t="shared" ca="1" si="22"/>
        <v>1.4749520931603772</v>
      </c>
      <c r="N191" t="str">
        <f t="shared" ca="1" si="23"/>
        <v>Accept</v>
      </c>
    </row>
    <row r="192" spans="1:14" x14ac:dyDescent="0.3">
      <c r="A192" t="s">
        <v>202</v>
      </c>
      <c r="B192" t="str" cm="1">
        <f t="array" ref="B192">INDEX([1]Sheet1!$A$2:$A$26, INT((ROW()-5)/10)+1)</f>
        <v>Dabur</v>
      </c>
      <c r="C192" t="str">
        <f>VLOOKUP(B192, [1]Sheet1!$A:$B, 2, FALSE)</f>
        <v>FMCG</v>
      </c>
      <c r="D192">
        <f ca="1">VLOOKUP($B192, [1]Sheet1!$A:$F, 3, FALSE) * (RANDBETWEEN(10,25)/100)</f>
        <v>56079000000</v>
      </c>
      <c r="E192">
        <f t="shared" ca="1" si="17"/>
        <v>-56079000000</v>
      </c>
      <c r="F192">
        <f ca="1">VLOOKUP($B192, [1]Sheet1!$A:$F, 4, FALSE) * (RANDBETWEEN(40,70)/100)</f>
        <v>77616000000</v>
      </c>
      <c r="G192">
        <f ca="1">VLOOKUP($B192, [1]Sheet1!$A:$F, 5, FALSE) * (RANDBETWEEN(60,100)/100)</f>
        <v>61056000000</v>
      </c>
      <c r="H192">
        <f t="shared" ca="1" si="25"/>
        <v>67161600000.000008</v>
      </c>
      <c r="I192">
        <f t="shared" ca="1" si="18"/>
        <v>4</v>
      </c>
      <c r="J192">
        <f t="shared" ca="1" si="19"/>
        <v>0.1</v>
      </c>
      <c r="K192">
        <f t="shared" ca="1" si="24"/>
        <v>115400008264.4628</v>
      </c>
      <c r="L192" s="4">
        <f t="shared" ca="1" si="21"/>
        <v>1.1496808307527009</v>
      </c>
      <c r="M192">
        <f t="shared" ca="1" si="22"/>
        <v>1</v>
      </c>
      <c r="N192" t="str">
        <f t="shared" ca="1" si="23"/>
        <v>Accept</v>
      </c>
    </row>
    <row r="193" spans="1:14" x14ac:dyDescent="0.3">
      <c r="A193" t="s">
        <v>203</v>
      </c>
      <c r="B193" t="str" cm="1">
        <f t="array" ref="B193">INDEX([1]Sheet1!$A$2:$A$26, INT((ROW()-5)/10)+1)</f>
        <v>Dabur</v>
      </c>
      <c r="C193" t="str">
        <f>VLOOKUP(B193, [1]Sheet1!$A:$B, 2, FALSE)</f>
        <v>FMCG</v>
      </c>
      <c r="D193">
        <f ca="1">VLOOKUP($B193, [1]Sheet1!$A:$F, 3, FALSE) * (RANDBETWEEN(10,25)/100)</f>
        <v>106550100000</v>
      </c>
      <c r="E193">
        <f t="shared" ca="1" si="17"/>
        <v>-106550100000</v>
      </c>
      <c r="F193">
        <f ca="1">VLOOKUP($B193, [1]Sheet1!$A:$F, 4, FALSE) * (RANDBETWEEN(40,70)/100)</f>
        <v>69148800000</v>
      </c>
      <c r="G193">
        <f ca="1">VLOOKUP($B193, [1]Sheet1!$A:$F, 5, FALSE) * (RANDBETWEEN(60,100)/100)</f>
        <v>63091200000</v>
      </c>
      <c r="H193">
        <f t="shared" ca="1" si="25"/>
        <v>69400320000</v>
      </c>
      <c r="I193">
        <f t="shared" ca="1" si="18"/>
        <v>3</v>
      </c>
      <c r="J193">
        <f t="shared" ca="1" si="19"/>
        <v>0.08</v>
      </c>
      <c r="K193">
        <f t="shared" ca="1" si="24"/>
        <v>66659313199.207428</v>
      </c>
      <c r="L193" s="4">
        <f t="shared" ca="1" si="21"/>
        <v>0.4023904649359662</v>
      </c>
      <c r="M193">
        <f t="shared" ca="1" si="22"/>
        <v>1.5928132608034082</v>
      </c>
      <c r="N193" t="str">
        <f t="shared" ca="1" si="23"/>
        <v>Accept</v>
      </c>
    </row>
    <row r="194" spans="1:14" x14ac:dyDescent="0.3">
      <c r="A194" t="s">
        <v>204</v>
      </c>
      <c r="B194" t="str" cm="1">
        <f t="array" ref="B194">INDEX([1]Sheet1!$A$2:$A$26, INT((ROW()-5)/10)+1)</f>
        <v>Dabur</v>
      </c>
      <c r="C194" t="str">
        <f>VLOOKUP(B194, [1]Sheet1!$A:$B, 2, FALSE)</f>
        <v>FMCG</v>
      </c>
      <c r="D194">
        <f ca="1">VLOOKUP($B194, [1]Sheet1!$A:$F, 3, FALSE) * (RANDBETWEEN(10,25)/100)</f>
        <v>56079000000</v>
      </c>
      <c r="E194">
        <f t="shared" ca="1" si="17"/>
        <v>-56079000000</v>
      </c>
      <c r="F194">
        <f ca="1">VLOOKUP($B194, [1]Sheet1!$A:$F, 4, FALSE) * (RANDBETWEEN(40,70)/100)</f>
        <v>71971200000</v>
      </c>
      <c r="G194">
        <f ca="1">VLOOKUP($B194, [1]Sheet1!$A:$F, 5, FALSE) * (RANDBETWEEN(60,100)/100)</f>
        <v>82425600000</v>
      </c>
      <c r="H194">
        <f t="shared" ca="1" si="25"/>
        <v>91492416000.000015</v>
      </c>
      <c r="I194">
        <f t="shared" ca="1" si="18"/>
        <v>2</v>
      </c>
      <c r="J194">
        <f t="shared" ca="1" si="19"/>
        <v>0.08</v>
      </c>
      <c r="K194">
        <f t="shared" ca="1" si="24"/>
        <v>153857296296.2963</v>
      </c>
      <c r="L194" s="4">
        <f t="shared" ca="1" si="21"/>
        <v>1.25565674740194</v>
      </c>
      <c r="M194">
        <f t="shared" ca="1" si="22"/>
        <v>1</v>
      </c>
      <c r="N194" t="str">
        <f t="shared" ca="1" si="23"/>
        <v>Accept</v>
      </c>
    </row>
    <row r="195" spans="1:14" x14ac:dyDescent="0.3">
      <c r="A195" t="s">
        <v>205</v>
      </c>
      <c r="B195" t="str" cm="1">
        <f t="array" ref="B195">INDEX([1]Sheet1!$A$2:$A$26, INT((ROW()-5)/10)+1)</f>
        <v>Brittania</v>
      </c>
      <c r="C195" t="str">
        <f>VLOOKUP(B195, [1]Sheet1!$A:$B, 2, FALSE)</f>
        <v>FMCG</v>
      </c>
      <c r="D195">
        <f ca="1">VLOOKUP($B195, [1]Sheet1!$A:$F, 3, FALSE) * (RANDBETWEEN(10,25)/100)</f>
        <v>63315000000</v>
      </c>
      <c r="E195">
        <f t="shared" ca="1" si="17"/>
        <v>-63315000000</v>
      </c>
      <c r="F195">
        <f ca="1">VLOOKUP($B195, [1]Sheet1!$A:$F, 4, FALSE) * (RANDBETWEEN(40,70)/100)</f>
        <v>67795200000</v>
      </c>
      <c r="G195">
        <f ca="1">VLOOKUP($B195, [1]Sheet1!$A:$F, 5, FALSE) * (RANDBETWEEN(60,100)/100)</f>
        <v>73754800000</v>
      </c>
      <c r="H195">
        <f t="shared" ca="1" si="25"/>
        <v>86293116000</v>
      </c>
      <c r="I195">
        <f t="shared" ca="1" si="18"/>
        <v>5</v>
      </c>
      <c r="J195">
        <f t="shared" ca="1" si="19"/>
        <v>0.1</v>
      </c>
      <c r="K195">
        <f t="shared" ca="1" si="24"/>
        <v>124104675432.00598</v>
      </c>
      <c r="L195" s="4">
        <f t="shared" ca="1" si="21"/>
        <v>0.99628587000477475</v>
      </c>
      <c r="M195">
        <f t="shared" ca="1" si="22"/>
        <v>1</v>
      </c>
      <c r="N195" t="str">
        <f t="shared" ca="1" si="23"/>
        <v>Accept</v>
      </c>
    </row>
    <row r="196" spans="1:14" x14ac:dyDescent="0.3">
      <c r="A196" t="s">
        <v>206</v>
      </c>
      <c r="B196" t="str" cm="1">
        <f t="array" ref="B196">INDEX([1]Sheet1!$A$2:$A$26, INT((ROW()-5)/10)+1)</f>
        <v>Brittania</v>
      </c>
      <c r="C196" t="str">
        <f>VLOOKUP(B196, [1]Sheet1!$A:$B, 2, FALSE)</f>
        <v>FMCG</v>
      </c>
      <c r="D196">
        <f ca="1">VLOOKUP($B196, [1]Sheet1!$A:$F, 3, FALSE) * (RANDBETWEEN(10,25)/100)</f>
        <v>113967000000</v>
      </c>
      <c r="E196">
        <f t="shared" ca="1" si="17"/>
        <v>-113967000000</v>
      </c>
      <c r="F196">
        <f ca="1">VLOOKUP($B196, [1]Sheet1!$A:$F, 4, FALSE) * (RANDBETWEEN(40,70)/100)</f>
        <v>92448000000</v>
      </c>
      <c r="G196">
        <f ca="1">VLOOKUP($B196, [1]Sheet1!$A:$F, 5, FALSE) * (RANDBETWEEN(60,100)/100)</f>
        <v>72716000000</v>
      </c>
      <c r="H196">
        <f t="shared" ca="1" si="25"/>
        <v>82169079999.999985</v>
      </c>
      <c r="I196">
        <f t="shared" ca="1" si="18"/>
        <v>4</v>
      </c>
      <c r="J196">
        <f t="shared" ca="1" si="19"/>
        <v>0.1</v>
      </c>
      <c r="K196">
        <f t="shared" ca="1" si="24"/>
        <v>91907350112.697174</v>
      </c>
      <c r="L196" s="4">
        <f t="shared" ca="1" si="21"/>
        <v>0.53370675038748572</v>
      </c>
      <c r="M196">
        <f t="shared" ca="1" si="22"/>
        <v>1.2959321194785192</v>
      </c>
      <c r="N196" t="str">
        <f t="shared" ca="1" si="23"/>
        <v>Accept</v>
      </c>
    </row>
    <row r="197" spans="1:14" x14ac:dyDescent="0.3">
      <c r="A197" t="s">
        <v>207</v>
      </c>
      <c r="B197" t="str" cm="1">
        <f t="array" ref="B197">INDEX([1]Sheet1!$A$2:$A$26, INT((ROW()-5)/10)+1)</f>
        <v>Brittania</v>
      </c>
      <c r="C197" t="str">
        <f>VLOOKUP(B197, [1]Sheet1!$A:$B, 2, FALSE)</f>
        <v>FMCG</v>
      </c>
      <c r="D197">
        <f ca="1">VLOOKUP($B197, [1]Sheet1!$A:$F, 3, FALSE) * (RANDBETWEEN(10,25)/100)</f>
        <v>94972500000</v>
      </c>
      <c r="E197">
        <f t="shared" ca="1" si="17"/>
        <v>-94972500000</v>
      </c>
      <c r="F197">
        <f ca="1">VLOOKUP($B197, [1]Sheet1!$A:$F, 4, FALSE) * (RANDBETWEEN(40,70)/100)</f>
        <v>73958400000</v>
      </c>
      <c r="G197">
        <f ca="1">VLOOKUP($B197, [1]Sheet1!$A:$F, 5, FALSE) * (RANDBETWEEN(60,100)/100)</f>
        <v>87259200000</v>
      </c>
      <c r="H197">
        <f t="shared" ca="1" si="25"/>
        <v>102093264000</v>
      </c>
      <c r="I197">
        <f t="shared" ca="1" si="18"/>
        <v>3</v>
      </c>
      <c r="J197">
        <f t="shared" ca="1" si="19"/>
        <v>0.08</v>
      </c>
      <c r="K197">
        <f t="shared" ca="1" si="24"/>
        <v>129363124142.66116</v>
      </c>
      <c r="L197" s="4">
        <f t="shared" ca="1" si="21"/>
        <v>0.69497296718852297</v>
      </c>
      <c r="M197">
        <f t="shared" ca="1" si="22"/>
        <v>1.2408238902029813</v>
      </c>
      <c r="N197" t="str">
        <f t="shared" ca="1" si="23"/>
        <v>Accept</v>
      </c>
    </row>
    <row r="198" spans="1:14" x14ac:dyDescent="0.3">
      <c r="A198" t="s">
        <v>208</v>
      </c>
      <c r="B198" t="str" cm="1">
        <f t="array" ref="B198">INDEX([1]Sheet1!$A$2:$A$26, INT((ROW()-5)/10)+1)</f>
        <v>Brittania</v>
      </c>
      <c r="C198" t="str">
        <f>VLOOKUP(B198, [1]Sheet1!$A:$B, 2, FALSE)</f>
        <v>FMCG</v>
      </c>
      <c r="D198">
        <f ca="1">VLOOKUP($B198, [1]Sheet1!$A:$F, 3, FALSE) * (RANDBETWEEN(10,25)/100)</f>
        <v>158287500000</v>
      </c>
      <c r="E198">
        <f t="shared" ref="E198:E254" ca="1" si="26">-D198</f>
        <v>-158287500000</v>
      </c>
      <c r="F198">
        <f ca="1">VLOOKUP($B198, [1]Sheet1!$A:$F, 4, FALSE) * (RANDBETWEEN(40,70)/100)</f>
        <v>93988800000</v>
      </c>
      <c r="G198">
        <f ca="1">VLOOKUP($B198, [1]Sheet1!$A:$F, 5, FALSE) * (RANDBETWEEN(60,100)/100)</f>
        <v>67522000000</v>
      </c>
      <c r="H198">
        <f t="shared" ca="1" si="25"/>
        <v>71573320000</v>
      </c>
      <c r="I198">
        <f t="shared" ref="I198:I256" ca="1" si="27">IF(C198="tech", RANDBETWEEN(2,4),
 IF(C198="energy", RANDBETWEEN(5,8),
 IF(C198="finance", RANDBETWEEN(3,6),
 IF(C198="FMCG", RANDBETWEEN(2,5),
 RANDBETWEEN(4,7)))))</f>
        <v>2</v>
      </c>
      <c r="J198">
        <f t="shared" ref="J198:J254" ca="1" si="28">IFERROR(
IF(I198&lt;=3,0.08,
IF(I198&lt;=6,0.1,
IF(I198&lt;=8,0.12,
0.15))),
"")</f>
        <v>0.08</v>
      </c>
      <c r="K198">
        <f t="shared" ca="1" si="24"/>
        <v>43445607503.937408</v>
      </c>
      <c r="L198" s="4">
        <f t="shared" ref="L198:L254" ca="1" si="29">IFERROR(IRR(E198:H198), -1)</f>
        <v>0.23537278708089326</v>
      </c>
      <c r="M198">
        <f t="shared" ref="M198:M255" ca="1" si="30">IF(F198&gt;=D198,1,
IF(F198+G198&gt;=D198,1+(D198-F198)/G198,
IF(F198+G198+H198&gt;=D198,2+(D198-F198-G198)/H198,
"&gt;3")))</f>
        <v>1.9522629661443678</v>
      </c>
      <c r="N198" t="str">
        <f t="shared" ref="N198:N254" ca="1" si="31">IF(AND(K198&gt;0,L198&gt;J198),"Accept","Reject")</f>
        <v>Accept</v>
      </c>
    </row>
    <row r="199" spans="1:14" x14ac:dyDescent="0.3">
      <c r="A199" t="s">
        <v>209</v>
      </c>
      <c r="B199" t="str" cm="1">
        <f t="array" ref="B199">INDEX([1]Sheet1!$A$2:$A$26, INT((ROW()-5)/10)+1)</f>
        <v>Brittania</v>
      </c>
      <c r="C199" t="str">
        <f>VLOOKUP(B199, [1]Sheet1!$A:$B, 2, FALSE)</f>
        <v>FMCG</v>
      </c>
      <c r="D199">
        <f ca="1">VLOOKUP($B199, [1]Sheet1!$A:$F, 3, FALSE) * (RANDBETWEEN(10,25)/100)</f>
        <v>158287500000</v>
      </c>
      <c r="E199">
        <f t="shared" ca="1" si="26"/>
        <v>-158287500000</v>
      </c>
      <c r="F199">
        <f ca="1">VLOOKUP($B199, [1]Sheet1!$A:$F, 4, FALSE) * (RANDBETWEEN(40,70)/100)</f>
        <v>93988800000</v>
      </c>
      <c r="G199">
        <f ca="1">VLOOKUP($B199, [1]Sheet1!$A:$F, 5, FALSE) * (RANDBETWEEN(60,100)/100)</f>
        <v>67522000000</v>
      </c>
      <c r="H199">
        <f t="shared" ca="1" si="25"/>
        <v>72248540000</v>
      </c>
      <c r="I199">
        <f t="shared" ca="1" si="27"/>
        <v>2</v>
      </c>
      <c r="J199">
        <f t="shared" ca="1" si="28"/>
        <v>0.08</v>
      </c>
      <c r="K199">
        <f t="shared" ca="1" si="24"/>
        <v>43981618909.719055</v>
      </c>
      <c r="L199" s="4">
        <f t="shared" ca="1" si="29"/>
        <v>0.23695875330880223</v>
      </c>
      <c r="M199">
        <f t="shared" ca="1" si="30"/>
        <v>1.9522629661443678</v>
      </c>
      <c r="N199" t="str">
        <f t="shared" ca="1" si="31"/>
        <v>Accept</v>
      </c>
    </row>
    <row r="200" spans="1:14" x14ac:dyDescent="0.3">
      <c r="A200" t="s">
        <v>210</v>
      </c>
      <c r="B200" t="str" cm="1">
        <f t="array" ref="B200">INDEX([1]Sheet1!$A$2:$A$26, INT((ROW()-5)/10)+1)</f>
        <v>Brittania</v>
      </c>
      <c r="C200" t="str">
        <f>VLOOKUP(B200, [1]Sheet1!$A:$B, 2, FALSE)</f>
        <v>FMCG</v>
      </c>
      <c r="D200">
        <f ca="1">VLOOKUP($B200, [1]Sheet1!$A:$F, 3, FALSE) * (RANDBETWEEN(10,25)/100)</f>
        <v>132961500000</v>
      </c>
      <c r="E200">
        <f t="shared" ca="1" si="26"/>
        <v>-132961500000</v>
      </c>
      <c r="F200">
        <f ca="1">VLOOKUP($B200, [1]Sheet1!$A:$F, 4, FALSE) * (RANDBETWEEN(40,70)/100)</f>
        <v>97070400000</v>
      </c>
      <c r="G200">
        <f ca="1">VLOOKUP($B200, [1]Sheet1!$A:$F, 5, FALSE) * (RANDBETWEEN(60,100)/100)</f>
        <v>90375600000</v>
      </c>
      <c r="H200">
        <f t="shared" ca="1" si="25"/>
        <v>106643208000</v>
      </c>
      <c r="I200">
        <f t="shared" ca="1" si="27"/>
        <v>2</v>
      </c>
      <c r="J200">
        <f t="shared" ca="1" si="28"/>
        <v>0.08</v>
      </c>
      <c r="K200">
        <f t="shared" ref="K200:K254" ca="1" si="32">F200/(1+J200)^1 + G200/(1+J200)^2 + H200/(1+J200)^3 - D200</f>
        <v>119057827084.28595</v>
      </c>
      <c r="L200" s="4">
        <f t="shared" ca="1" si="29"/>
        <v>0.52251270753445644</v>
      </c>
      <c r="M200">
        <f t="shared" ca="1" si="30"/>
        <v>1.3971326331443443</v>
      </c>
      <c r="N200" t="str">
        <f t="shared" ca="1" si="31"/>
        <v>Accept</v>
      </c>
    </row>
    <row r="201" spans="1:14" x14ac:dyDescent="0.3">
      <c r="A201" t="s">
        <v>211</v>
      </c>
      <c r="B201" t="str" cm="1">
        <f t="array" ref="B201">INDEX([1]Sheet1!$A$2:$A$26, INT((ROW()-5)/10)+1)</f>
        <v>Brittania</v>
      </c>
      <c r="C201" t="str">
        <f>VLOOKUP(B201, [1]Sheet1!$A:$B, 2, FALSE)</f>
        <v>FMCG</v>
      </c>
      <c r="D201">
        <f ca="1">VLOOKUP($B201, [1]Sheet1!$A:$F, 3, FALSE) * (RANDBETWEEN(10,25)/100)</f>
        <v>120298500000</v>
      </c>
      <c r="E201">
        <f t="shared" ca="1" si="26"/>
        <v>-120298500000</v>
      </c>
      <c r="F201">
        <f ca="1">VLOOKUP($B201, [1]Sheet1!$A:$F, 4, FALSE) * (RANDBETWEEN(40,70)/100)</f>
        <v>73958400000</v>
      </c>
      <c r="G201">
        <f ca="1">VLOOKUP($B201, [1]Sheet1!$A:$F, 5, FALSE) * (RANDBETWEEN(60,100)/100)</f>
        <v>101802400000</v>
      </c>
      <c r="H201">
        <f t="shared" ca="1" si="25"/>
        <v>106892520000</v>
      </c>
      <c r="I201">
        <f t="shared" ca="1" si="27"/>
        <v>2</v>
      </c>
      <c r="J201">
        <f t="shared" ca="1" si="28"/>
        <v>0.08</v>
      </c>
      <c r="K201">
        <f t="shared" ca="1" si="32"/>
        <v>120315378219.78357</v>
      </c>
      <c r="L201" s="4">
        <f t="shared" ca="1" si="29"/>
        <v>0.5394412489113003</v>
      </c>
      <c r="M201">
        <f t="shared" ca="1" si="30"/>
        <v>1.4551965376061862</v>
      </c>
      <c r="N201" t="str">
        <f t="shared" ca="1" si="31"/>
        <v>Accept</v>
      </c>
    </row>
    <row r="202" spans="1:14" x14ac:dyDescent="0.3">
      <c r="A202" t="s">
        <v>212</v>
      </c>
      <c r="B202" t="str" cm="1">
        <f t="array" ref="B202">INDEX([1]Sheet1!$A$2:$A$26, INT((ROW()-5)/10)+1)</f>
        <v>Brittania</v>
      </c>
      <c r="C202" t="str">
        <f>VLOOKUP(B202, [1]Sheet1!$A:$B, 2, FALSE)</f>
        <v>FMCG</v>
      </c>
      <c r="D202">
        <f ca="1">VLOOKUP($B202, [1]Sheet1!$A:$F, 3, FALSE) * (RANDBETWEEN(10,25)/100)</f>
        <v>158287500000</v>
      </c>
      <c r="E202">
        <f t="shared" ca="1" si="26"/>
        <v>-158287500000</v>
      </c>
      <c r="F202">
        <f ca="1">VLOOKUP($B202, [1]Sheet1!$A:$F, 4, FALSE) * (RANDBETWEEN(40,70)/100)</f>
        <v>69336000000</v>
      </c>
      <c r="G202">
        <f ca="1">VLOOKUP($B202, [1]Sheet1!$A:$F, 5, FALSE) * (RANDBETWEEN(60,100)/100)</f>
        <v>98686000000</v>
      </c>
      <c r="H202">
        <f t="shared" ca="1" si="25"/>
        <v>107567740000.00002</v>
      </c>
      <c r="I202">
        <f t="shared" ca="1" si="27"/>
        <v>4</v>
      </c>
      <c r="J202">
        <f t="shared" ca="1" si="28"/>
        <v>0.1</v>
      </c>
      <c r="K202">
        <f t="shared" ca="1" si="32"/>
        <v>67121140120.210327</v>
      </c>
      <c r="L202" s="4">
        <f t="shared" ca="1" si="29"/>
        <v>0.30997980641544798</v>
      </c>
      <c r="M202">
        <f t="shared" ca="1" si="30"/>
        <v>1.901358855359423</v>
      </c>
      <c r="N202" t="str">
        <f t="shared" ca="1" si="31"/>
        <v>Accept</v>
      </c>
    </row>
    <row r="203" spans="1:14" x14ac:dyDescent="0.3">
      <c r="A203" t="s">
        <v>213</v>
      </c>
      <c r="B203" t="str" cm="1">
        <f t="array" ref="B203">INDEX([1]Sheet1!$A$2:$A$26, INT((ROW()-5)/10)+1)</f>
        <v>Brittania</v>
      </c>
      <c r="C203" t="str">
        <f>VLOOKUP(B203, [1]Sheet1!$A:$B, 2, FALSE)</f>
        <v>FMCG</v>
      </c>
      <c r="D203">
        <f ca="1">VLOOKUP($B203, [1]Sheet1!$A:$F, 3, FALSE) * (RANDBETWEEN(10,25)/100)</f>
        <v>75978000000</v>
      </c>
      <c r="E203">
        <f t="shared" ca="1" si="26"/>
        <v>-75978000000</v>
      </c>
      <c r="F203">
        <f ca="1">VLOOKUP($B203, [1]Sheet1!$A:$F, 4, FALSE) * (RANDBETWEEN(40,70)/100)</f>
        <v>61632000000</v>
      </c>
      <c r="G203">
        <f ca="1">VLOOKUP($B203, [1]Sheet1!$A:$F, 5, FALSE) * (RANDBETWEEN(60,100)/100)</f>
        <v>99724800000</v>
      </c>
      <c r="H203">
        <f t="shared" ca="1" si="25"/>
        <v>104711040000</v>
      </c>
      <c r="I203">
        <f t="shared" ca="1" si="27"/>
        <v>4</v>
      </c>
      <c r="J203">
        <f t="shared" ca="1" si="28"/>
        <v>0.1</v>
      </c>
      <c r="K203">
        <f t="shared" ca="1" si="32"/>
        <v>141139235161.53265</v>
      </c>
      <c r="L203" s="4">
        <f t="shared" ca="1" si="29"/>
        <v>0.89082741984935288</v>
      </c>
      <c r="M203">
        <f t="shared" ca="1" si="30"/>
        <v>1.1438558914131691</v>
      </c>
      <c r="N203" t="str">
        <f t="shared" ca="1" si="31"/>
        <v>Accept</v>
      </c>
    </row>
    <row r="204" spans="1:14" x14ac:dyDescent="0.3">
      <c r="A204" t="s">
        <v>214</v>
      </c>
      <c r="B204" t="str" cm="1">
        <f t="array" ref="B204">INDEX([1]Sheet1!$A$2:$A$26, INT((ROW()-5)/10)+1)</f>
        <v>Brittania</v>
      </c>
      <c r="C204" t="str">
        <f>VLOOKUP(B204, [1]Sheet1!$A:$B, 2, FALSE)</f>
        <v>FMCG</v>
      </c>
      <c r="D204">
        <f ca="1">VLOOKUP($B204, [1]Sheet1!$A:$F, 3, FALSE) * (RANDBETWEEN(10,25)/100)</f>
        <v>75978000000</v>
      </c>
      <c r="E204">
        <f t="shared" ca="1" si="26"/>
        <v>-75978000000</v>
      </c>
      <c r="F204">
        <f ca="1">VLOOKUP($B204, [1]Sheet1!$A:$F, 4, FALSE) * (RANDBETWEEN(40,70)/100)</f>
        <v>97070400000</v>
      </c>
      <c r="G204">
        <f ca="1">VLOOKUP($B204, [1]Sheet1!$A:$F, 5, FALSE) * (RANDBETWEEN(60,100)/100)</f>
        <v>95569600000</v>
      </c>
      <c r="H204">
        <f t="shared" ca="1" si="25"/>
        <v>107037952000.00002</v>
      </c>
      <c r="I204">
        <f t="shared" ca="1" si="27"/>
        <v>2</v>
      </c>
      <c r="J204">
        <f t="shared" ca="1" si="28"/>
        <v>0.08</v>
      </c>
      <c r="K204">
        <f t="shared" ca="1" si="32"/>
        <v>180807705431.08267</v>
      </c>
      <c r="L204" s="4">
        <f t="shared" ca="1" si="29"/>
        <v>1.1612326627156819</v>
      </c>
      <c r="M204">
        <f t="shared" ca="1" si="30"/>
        <v>1</v>
      </c>
      <c r="N204" t="str">
        <f t="shared" ca="1" si="31"/>
        <v>Accept</v>
      </c>
    </row>
    <row r="205" spans="1:14" x14ac:dyDescent="0.3">
      <c r="A205" t="s">
        <v>215</v>
      </c>
      <c r="B205" t="str" cm="1">
        <f t="array" ref="B205">INDEX([1]Sheet1!$A$2:$A$26, INT((ROW()-5)/10)+1)</f>
        <v>Tata Motors</v>
      </c>
      <c r="C205" t="str">
        <f>VLOOKUP(B205, [1]Sheet1!$A:$B, 2, FALSE)</f>
        <v>Automobile</v>
      </c>
      <c r="D205">
        <f ca="1">VLOOKUP($B205, [1]Sheet1!$A:$F, 3, FALSE) * (RANDBETWEEN(10,25)/100)</f>
        <v>830300000000</v>
      </c>
      <c r="E205">
        <f t="shared" ca="1" si="26"/>
        <v>-830300000000</v>
      </c>
      <c r="F205">
        <f ca="1">VLOOKUP($B205, [1]Sheet1!$A:$F, 4, FALSE) * (RANDBETWEEN(40,70)/100)</f>
        <v>186780000000</v>
      </c>
      <c r="G205">
        <f ca="1">VLOOKUP($B205, [1]Sheet1!$A:$F, 5, FALSE) * (RANDBETWEEN(60,100)/100)</f>
        <v>23940000000</v>
      </c>
      <c r="H205">
        <f t="shared" ca="1" si="25"/>
        <v>25855200000</v>
      </c>
      <c r="I205">
        <f t="shared" ca="1" si="27"/>
        <v>4</v>
      </c>
      <c r="J205">
        <f t="shared" ca="1" si="28"/>
        <v>0.1</v>
      </c>
      <c r="K205">
        <f t="shared" ca="1" si="32"/>
        <v>-621289481592.78735</v>
      </c>
      <c r="L205" s="4">
        <f t="shared" ca="1" si="29"/>
        <v>-0.55391924559042127</v>
      </c>
      <c r="M205" t="str">
        <f t="shared" ca="1" si="30"/>
        <v>&gt;3</v>
      </c>
      <c r="N205" t="str">
        <f t="shared" ca="1" si="31"/>
        <v>Reject</v>
      </c>
    </row>
    <row r="206" spans="1:14" x14ac:dyDescent="0.3">
      <c r="A206" t="s">
        <v>216</v>
      </c>
      <c r="B206" t="str" cm="1">
        <f t="array" ref="B206">INDEX([1]Sheet1!$A$2:$A$26, INT((ROW()-5)/10)+1)</f>
        <v>Tata Motors</v>
      </c>
      <c r="C206" t="str">
        <f>VLOOKUP(B206, [1]Sheet1!$A:$B, 2, FALSE)</f>
        <v>Automobile</v>
      </c>
      <c r="D206">
        <f ca="1">VLOOKUP($B206, [1]Sheet1!$A:$F, 3, FALSE) * (RANDBETWEEN(10,25)/100)</f>
        <v>699200000000</v>
      </c>
      <c r="E206">
        <f t="shared" ca="1" si="26"/>
        <v>-699200000000</v>
      </c>
      <c r="F206">
        <f ca="1">VLOOKUP($B206, [1]Sheet1!$A:$F, 4, FALSE) * (RANDBETWEEN(40,70)/100)</f>
        <v>175460000000</v>
      </c>
      <c r="G206">
        <f ca="1">VLOOKUP($B206, [1]Sheet1!$A:$F, 5, FALSE) * (RANDBETWEEN(60,100)/100)</f>
        <v>29295000000</v>
      </c>
      <c r="H206">
        <f t="shared" ca="1" si="25"/>
        <v>31345650000</v>
      </c>
      <c r="I206">
        <f t="shared" ca="1" si="27"/>
        <v>6</v>
      </c>
      <c r="J206">
        <f t="shared" ca="1" si="28"/>
        <v>0.1</v>
      </c>
      <c r="K206">
        <f t="shared" ca="1" si="32"/>
        <v>-491929714500.37573</v>
      </c>
      <c r="L206" s="4">
        <f t="shared" ca="1" si="29"/>
        <v>-0.49246577839626615</v>
      </c>
      <c r="M206" t="str">
        <f t="shared" ca="1" si="30"/>
        <v>&gt;3</v>
      </c>
      <c r="N206" t="str">
        <f t="shared" ca="1" si="31"/>
        <v>Reject</v>
      </c>
    </row>
    <row r="207" spans="1:14" x14ac:dyDescent="0.3">
      <c r="A207" t="s">
        <v>217</v>
      </c>
      <c r="B207" t="str" cm="1">
        <f t="array" ref="B207">INDEX([1]Sheet1!$A$2:$A$26, INT((ROW()-5)/10)+1)</f>
        <v>Tata Motors</v>
      </c>
      <c r="C207" t="str">
        <f>VLOOKUP(B207, [1]Sheet1!$A:$B, 2, FALSE)</f>
        <v>Automobile</v>
      </c>
      <c r="D207">
        <f ca="1">VLOOKUP($B207, [1]Sheet1!$A:$F, 3, FALSE) * (RANDBETWEEN(10,25)/100)</f>
        <v>1005100000000</v>
      </c>
      <c r="E207">
        <f t="shared" ca="1" si="26"/>
        <v>-1005100000000</v>
      </c>
      <c r="F207">
        <f ca="1">VLOOKUP($B207, [1]Sheet1!$A:$F, 4, FALSE) * (RANDBETWEEN(40,70)/100)</f>
        <v>189610000000</v>
      </c>
      <c r="G207">
        <f ca="1">VLOOKUP($B207, [1]Sheet1!$A:$F, 5, FALSE) * (RANDBETWEEN(60,100)/100)</f>
        <v>23940000000</v>
      </c>
      <c r="H207">
        <f t="shared" ca="1" si="25"/>
        <v>26094600000.000004</v>
      </c>
      <c r="I207">
        <f t="shared" ca="1" si="27"/>
        <v>5</v>
      </c>
      <c r="J207">
        <f t="shared" ca="1" si="28"/>
        <v>0.1</v>
      </c>
      <c r="K207">
        <f t="shared" ca="1" si="32"/>
        <v>-793336889556.72437</v>
      </c>
      <c r="L207" s="4">
        <f t="shared" ca="1" si="29"/>
        <v>-0.59461518762491816</v>
      </c>
      <c r="M207" t="str">
        <f t="shared" ca="1" si="30"/>
        <v>&gt;3</v>
      </c>
      <c r="N207" t="str">
        <f t="shared" ca="1" si="31"/>
        <v>Reject</v>
      </c>
    </row>
    <row r="208" spans="1:14" x14ac:dyDescent="0.3">
      <c r="A208" t="s">
        <v>218</v>
      </c>
      <c r="B208" t="str" cm="1">
        <f t="array" ref="B208">INDEX([1]Sheet1!$A$2:$A$26, INT((ROW()-5)/10)+1)</f>
        <v>Tata Motors</v>
      </c>
      <c r="C208" t="str">
        <f>VLOOKUP(B208, [1]Sheet1!$A:$B, 2, FALSE)</f>
        <v>Automobile</v>
      </c>
      <c r="D208">
        <f ca="1">VLOOKUP($B208, [1]Sheet1!$A:$F, 3, FALSE) * (RANDBETWEEN(10,25)/100)</f>
        <v>524400000000</v>
      </c>
      <c r="E208">
        <f t="shared" ca="1" si="26"/>
        <v>-524400000000</v>
      </c>
      <c r="F208">
        <f ca="1">VLOOKUP($B208, [1]Sheet1!$A:$F, 4, FALSE) * (RANDBETWEEN(40,70)/100)</f>
        <v>144330000000</v>
      </c>
      <c r="G208">
        <f ca="1">VLOOKUP($B208, [1]Sheet1!$A:$F, 5, FALSE) * (RANDBETWEEN(60,100)/100)</f>
        <v>23310000000</v>
      </c>
      <c r="H208">
        <f t="shared" ca="1" si="25"/>
        <v>26806499999.999996</v>
      </c>
      <c r="I208">
        <f t="shared" ca="1" si="27"/>
        <v>7</v>
      </c>
      <c r="J208">
        <f t="shared" ca="1" si="28"/>
        <v>0.12</v>
      </c>
      <c r="K208">
        <f t="shared" ca="1" si="32"/>
        <v>-357871002072.7041</v>
      </c>
      <c r="L208" s="4">
        <f t="shared" ca="1" si="29"/>
        <v>-0.46395112108134307</v>
      </c>
      <c r="M208" t="str">
        <f t="shared" ca="1" si="30"/>
        <v>&gt;3</v>
      </c>
      <c r="N208" t="str">
        <f t="shared" ca="1" si="31"/>
        <v>Reject</v>
      </c>
    </row>
    <row r="209" spans="1:14" x14ac:dyDescent="0.3">
      <c r="A209" t="s">
        <v>219</v>
      </c>
      <c r="B209" t="str" cm="1">
        <f t="array" ref="B209">INDEX([1]Sheet1!$A$2:$A$26, INT((ROW()-5)/10)+1)</f>
        <v>Tata Motors</v>
      </c>
      <c r="C209" t="str">
        <f>VLOOKUP(B209, [1]Sheet1!$A:$B, 2, FALSE)</f>
        <v>Automobile</v>
      </c>
      <c r="D209">
        <f ca="1">VLOOKUP($B209, [1]Sheet1!$A:$F, 3, FALSE) * (RANDBETWEEN(10,25)/100)</f>
        <v>1005100000000</v>
      </c>
      <c r="E209">
        <f t="shared" ca="1" si="26"/>
        <v>-1005100000000</v>
      </c>
      <c r="F209">
        <f ca="1">VLOOKUP($B209, [1]Sheet1!$A:$F, 4, FALSE) * (RANDBETWEEN(40,70)/100)</f>
        <v>124520000000</v>
      </c>
      <c r="G209">
        <f ca="1">VLOOKUP($B209, [1]Sheet1!$A:$F, 5, FALSE) * (RANDBETWEEN(60,100)/100)</f>
        <v>21420000000</v>
      </c>
      <c r="H209">
        <f t="shared" ca="1" si="25"/>
        <v>22491000000</v>
      </c>
      <c r="I209">
        <f t="shared" ca="1" si="27"/>
        <v>4</v>
      </c>
      <c r="J209">
        <f t="shared" ca="1" si="28"/>
        <v>0.1</v>
      </c>
      <c r="K209">
        <f t="shared" ca="1" si="32"/>
        <v>-857299699474.07959</v>
      </c>
      <c r="L209" s="4">
        <f t="shared" ca="1" si="29"/>
        <v>-0.64199410092906795</v>
      </c>
      <c r="M209" t="str">
        <f t="shared" ca="1" si="30"/>
        <v>&gt;3</v>
      </c>
      <c r="N209" t="str">
        <f t="shared" ca="1" si="31"/>
        <v>Reject</v>
      </c>
    </row>
    <row r="210" spans="1:14" x14ac:dyDescent="0.3">
      <c r="A210" t="s">
        <v>220</v>
      </c>
      <c r="B210" t="str" cm="1">
        <f t="array" ref="B210">INDEX([1]Sheet1!$A$2:$A$26, INT((ROW()-5)/10)+1)</f>
        <v>Tata Motors</v>
      </c>
      <c r="C210" t="str">
        <f>VLOOKUP(B210, [1]Sheet1!$A:$B, 2, FALSE)</f>
        <v>Automobile</v>
      </c>
      <c r="D210">
        <f ca="1">VLOOKUP($B210, [1]Sheet1!$A:$F, 3, FALSE) * (RANDBETWEEN(10,25)/100)</f>
        <v>524400000000</v>
      </c>
      <c r="E210">
        <f t="shared" ca="1" si="26"/>
        <v>-524400000000</v>
      </c>
      <c r="F210">
        <f ca="1">VLOOKUP($B210, [1]Sheet1!$A:$F, 4, FALSE) * (RANDBETWEEN(40,70)/100)</f>
        <v>169800000000</v>
      </c>
      <c r="G210">
        <f ca="1">VLOOKUP($B210, [1]Sheet1!$A:$F, 5, FALSE) * (RANDBETWEEN(60,100)/100)</f>
        <v>22050000000</v>
      </c>
      <c r="H210">
        <f t="shared" ca="1" si="25"/>
        <v>23152500000</v>
      </c>
      <c r="I210">
        <f t="shared" ca="1" si="27"/>
        <v>5</v>
      </c>
      <c r="J210">
        <f t="shared" ca="1" si="28"/>
        <v>0.1</v>
      </c>
      <c r="K210">
        <f t="shared" ca="1" si="32"/>
        <v>-334418407212.62207</v>
      </c>
      <c r="L210" s="4">
        <f t="shared" ca="1" si="29"/>
        <v>-0.45226960021780416</v>
      </c>
      <c r="M210" t="str">
        <f t="shared" ca="1" si="30"/>
        <v>&gt;3</v>
      </c>
      <c r="N210" t="str">
        <f t="shared" ca="1" si="31"/>
        <v>Reject</v>
      </c>
    </row>
    <row r="211" spans="1:14" x14ac:dyDescent="0.3">
      <c r="A211" t="s">
        <v>221</v>
      </c>
      <c r="B211" t="str" cm="1">
        <f t="array" ref="B211">INDEX([1]Sheet1!$A$2:$A$26, INT((ROW()-5)/10)+1)</f>
        <v>Tata Motors</v>
      </c>
      <c r="C211" t="str">
        <f>VLOOKUP(B211, [1]Sheet1!$A:$B, 2, FALSE)</f>
        <v>Automobile</v>
      </c>
      <c r="D211">
        <f ca="1">VLOOKUP($B211, [1]Sheet1!$A:$F, 3, FALSE) * (RANDBETWEEN(10,25)/100)</f>
        <v>437000000000</v>
      </c>
      <c r="E211">
        <f t="shared" ca="1" si="26"/>
        <v>-437000000000</v>
      </c>
      <c r="F211">
        <f ca="1">VLOOKUP($B211, [1]Sheet1!$A:$F, 4, FALSE) * (RANDBETWEEN(40,70)/100)</f>
        <v>138670000000</v>
      </c>
      <c r="G211">
        <f ca="1">VLOOKUP($B211, [1]Sheet1!$A:$F, 5, FALSE) * (RANDBETWEEN(60,100)/100)</f>
        <v>20790000000</v>
      </c>
      <c r="H211">
        <f t="shared" ca="1" si="25"/>
        <v>22453200000</v>
      </c>
      <c r="I211">
        <f t="shared" ca="1" si="27"/>
        <v>5</v>
      </c>
      <c r="J211">
        <f t="shared" ca="1" si="28"/>
        <v>0.1</v>
      </c>
      <c r="K211">
        <f t="shared" ca="1" si="32"/>
        <v>-276885123966.94214</v>
      </c>
      <c r="L211" s="4">
        <f t="shared" ca="1" si="29"/>
        <v>-0.43646487002667389</v>
      </c>
      <c r="M211" t="str">
        <f t="shared" ca="1" si="30"/>
        <v>&gt;3</v>
      </c>
      <c r="N211" t="str">
        <f t="shared" ca="1" si="31"/>
        <v>Reject</v>
      </c>
    </row>
    <row r="212" spans="1:14" x14ac:dyDescent="0.3">
      <c r="A212" t="s">
        <v>222</v>
      </c>
      <c r="B212" t="str" cm="1">
        <f t="array" ref="B212">INDEX([1]Sheet1!$A$2:$A$26, INT((ROW()-5)/10)+1)</f>
        <v>Tata Motors</v>
      </c>
      <c r="C212" t="str">
        <f>VLOOKUP(B212, [1]Sheet1!$A:$B, 2, FALSE)</f>
        <v>Automobile</v>
      </c>
      <c r="D212">
        <f ca="1">VLOOKUP($B212, [1]Sheet1!$A:$F, 3, FALSE) * (RANDBETWEEN(10,25)/100)</f>
        <v>611800000000</v>
      </c>
      <c r="E212">
        <f t="shared" ca="1" si="26"/>
        <v>-611800000000</v>
      </c>
      <c r="F212">
        <f ca="1">VLOOKUP($B212, [1]Sheet1!$A:$F, 4, FALSE) * (RANDBETWEEN(40,70)/100)</f>
        <v>135840000000</v>
      </c>
      <c r="G212">
        <f ca="1">VLOOKUP($B212, [1]Sheet1!$A:$F, 5, FALSE) * (RANDBETWEEN(60,100)/100)</f>
        <v>19530000000</v>
      </c>
      <c r="H212">
        <f t="shared" ca="1" si="25"/>
        <v>20897100000</v>
      </c>
      <c r="I212">
        <f t="shared" ca="1" si="27"/>
        <v>4</v>
      </c>
      <c r="J212">
        <f t="shared" ca="1" si="28"/>
        <v>0.1</v>
      </c>
      <c r="K212">
        <f t="shared" ca="1" si="32"/>
        <v>-456468294515.40198</v>
      </c>
      <c r="L212" s="4">
        <f t="shared" ca="1" si="29"/>
        <v>-0.54383781965361799</v>
      </c>
      <c r="M212" t="str">
        <f t="shared" ca="1" si="30"/>
        <v>&gt;3</v>
      </c>
      <c r="N212" t="str">
        <f t="shared" ca="1" si="31"/>
        <v>Reject</v>
      </c>
    </row>
    <row r="213" spans="1:14" x14ac:dyDescent="0.3">
      <c r="A213" t="s">
        <v>223</v>
      </c>
      <c r="B213" t="str" cm="1">
        <f t="array" ref="B213">INDEX([1]Sheet1!$A$2:$A$26, INT((ROW()-5)/10)+1)</f>
        <v>Tata Motors</v>
      </c>
      <c r="C213" t="str">
        <f>VLOOKUP(B213, [1]Sheet1!$A:$B, 2, FALSE)</f>
        <v>Automobile</v>
      </c>
      <c r="D213">
        <f ca="1">VLOOKUP($B213, [1]Sheet1!$A:$F, 3, FALSE) * (RANDBETWEEN(10,25)/100)</f>
        <v>611800000000</v>
      </c>
      <c r="E213">
        <f t="shared" ca="1" si="26"/>
        <v>-611800000000</v>
      </c>
      <c r="F213">
        <f ca="1">VLOOKUP($B213, [1]Sheet1!$A:$F, 4, FALSE) * (RANDBETWEEN(40,70)/100)</f>
        <v>192440000000</v>
      </c>
      <c r="G213">
        <f ca="1">VLOOKUP($B213, [1]Sheet1!$A:$F, 5, FALSE) * (RANDBETWEEN(60,100)/100)</f>
        <v>21105000000</v>
      </c>
      <c r="H213">
        <f t="shared" ca="1" si="25"/>
        <v>22371300000</v>
      </c>
      <c r="I213">
        <f t="shared" ca="1" si="27"/>
        <v>6</v>
      </c>
      <c r="J213">
        <f t="shared" ca="1" si="28"/>
        <v>0.1</v>
      </c>
      <c r="K213">
        <f t="shared" ca="1" si="32"/>
        <v>-402604507888.80542</v>
      </c>
      <c r="L213" s="4">
        <f t="shared" ca="1" si="29"/>
        <v>-0.48235048608866316</v>
      </c>
      <c r="M213" t="str">
        <f t="shared" ca="1" si="30"/>
        <v>&gt;3</v>
      </c>
      <c r="N213" t="str">
        <f t="shared" ca="1" si="31"/>
        <v>Reject</v>
      </c>
    </row>
    <row r="214" spans="1:14" x14ac:dyDescent="0.3">
      <c r="A214" t="s">
        <v>224</v>
      </c>
      <c r="B214" t="str" cm="1">
        <f t="array" ref="B214">INDEX([1]Sheet1!$A$2:$A$26, INT((ROW()-5)/10)+1)</f>
        <v>Tata Motors</v>
      </c>
      <c r="C214" t="str">
        <f>VLOOKUP(B214, [1]Sheet1!$A:$B, 2, FALSE)</f>
        <v>Automobile</v>
      </c>
      <c r="D214">
        <f ca="1">VLOOKUP($B214, [1]Sheet1!$A:$F, 3, FALSE) * (RANDBETWEEN(10,25)/100)</f>
        <v>480700000000</v>
      </c>
      <c r="E214">
        <f t="shared" ca="1" si="26"/>
        <v>-480700000000</v>
      </c>
      <c r="F214">
        <f ca="1">VLOOKUP($B214, [1]Sheet1!$A:$F, 4, FALSE) * (RANDBETWEEN(40,70)/100)</f>
        <v>155650000000</v>
      </c>
      <c r="G214">
        <f ca="1">VLOOKUP($B214, [1]Sheet1!$A:$F, 5, FALSE) * (RANDBETWEEN(60,100)/100)</f>
        <v>24570000000</v>
      </c>
      <c r="H214">
        <f t="shared" ca="1" si="25"/>
        <v>28009800000.000004</v>
      </c>
      <c r="I214">
        <f t="shared" ca="1" si="27"/>
        <v>5</v>
      </c>
      <c r="J214">
        <f t="shared" ca="1" si="28"/>
        <v>0.1</v>
      </c>
      <c r="K214">
        <f t="shared" ca="1" si="32"/>
        <v>-297850037565.74005</v>
      </c>
      <c r="L214" s="4">
        <f t="shared" ca="1" si="29"/>
        <v>-0.41705426203302209</v>
      </c>
      <c r="M214" t="str">
        <f t="shared" ca="1" si="30"/>
        <v>&gt;3</v>
      </c>
      <c r="N214" t="str">
        <f t="shared" ca="1" si="31"/>
        <v>Reject</v>
      </c>
    </row>
    <row r="215" spans="1:14" x14ac:dyDescent="0.3">
      <c r="A215" t="s">
        <v>225</v>
      </c>
      <c r="B215" t="str" cm="1">
        <f t="array" ref="B215">INDEX([1]Sheet1!$A$2:$A$26, INT((ROW()-5)/10)+1)</f>
        <v>Mahindra &amp; Mahindra</v>
      </c>
      <c r="C215" t="str">
        <f>VLOOKUP(B215, [1]Sheet1!$A:$B, 2, FALSE)</f>
        <v>Automobile</v>
      </c>
      <c r="D215">
        <f ca="1">VLOOKUP($B215, [1]Sheet1!$A:$F, 3, FALSE) * (RANDBETWEEN(10,25)/100)</f>
        <v>587328000000</v>
      </c>
      <c r="E215">
        <f t="shared" ca="1" si="26"/>
        <v>-587328000000</v>
      </c>
      <c r="F215">
        <f ca="1">VLOOKUP($B215, [1]Sheet1!$A:$F, 4, FALSE) * (RANDBETWEEN(40,70)/100)</f>
        <v>159725200000</v>
      </c>
      <c r="G215">
        <f ca="1">VLOOKUP($B215, [1]Sheet1!$A:$F, 5, FALSE) * (RANDBETWEEN(60,100)/100)</f>
        <v>24497550000</v>
      </c>
      <c r="H215">
        <f t="shared" ca="1" si="25"/>
        <v>29397060000</v>
      </c>
      <c r="I215">
        <f t="shared" ca="1" si="27"/>
        <v>4</v>
      </c>
      <c r="J215">
        <f t="shared" ca="1" si="28"/>
        <v>0.1</v>
      </c>
      <c r="K215">
        <f t="shared" ca="1" si="32"/>
        <v>-399790917355.37195</v>
      </c>
      <c r="L215" s="4">
        <f t="shared" ca="1" si="29"/>
        <v>-1</v>
      </c>
      <c r="M215" t="str">
        <f t="shared" ca="1" si="30"/>
        <v>&gt;3</v>
      </c>
      <c r="N215" t="str">
        <f t="shared" ca="1" si="31"/>
        <v>Reject</v>
      </c>
    </row>
    <row r="216" spans="1:14" x14ac:dyDescent="0.3">
      <c r="A216" t="s">
        <v>226</v>
      </c>
      <c r="B216" t="str" cm="1">
        <f t="array" ref="B216">INDEX([1]Sheet1!$A$2:$A$26, INT((ROW()-5)/10)+1)</f>
        <v>Mahindra &amp; Mahindra</v>
      </c>
      <c r="C216" t="str">
        <f>VLOOKUP(B216, [1]Sheet1!$A:$B, 2, FALSE)</f>
        <v>Automobile</v>
      </c>
      <c r="D216">
        <f ca="1">VLOOKUP($B216, [1]Sheet1!$A:$F, 3, FALSE) * (RANDBETWEEN(10,25)/100)</f>
        <v>964896000000</v>
      </c>
      <c r="E216">
        <f t="shared" ca="1" si="26"/>
        <v>-964896000000</v>
      </c>
      <c r="F216">
        <f ca="1">VLOOKUP($B216, [1]Sheet1!$A:$F, 4, FALSE) * (RANDBETWEEN(40,70)/100)</f>
        <v>126840600000.00002</v>
      </c>
      <c r="G216">
        <f ca="1">VLOOKUP($B216, [1]Sheet1!$A:$F, 5, FALSE) * (RANDBETWEEN(60,100)/100)</f>
        <v>25452000000</v>
      </c>
      <c r="H216">
        <f t="shared" ca="1" si="25"/>
        <v>29015280000.000004</v>
      </c>
      <c r="I216">
        <f t="shared" ca="1" si="27"/>
        <v>6</v>
      </c>
      <c r="J216">
        <f t="shared" ca="1" si="28"/>
        <v>0.1</v>
      </c>
      <c r="K216">
        <f t="shared" ca="1" si="32"/>
        <v>-806752043576.25842</v>
      </c>
      <c r="L216" s="4">
        <f t="shared" ca="1" si="29"/>
        <v>-1</v>
      </c>
      <c r="M216" t="str">
        <f t="shared" ca="1" si="30"/>
        <v>&gt;3</v>
      </c>
      <c r="N216" t="str">
        <f t="shared" ca="1" si="31"/>
        <v>Reject</v>
      </c>
    </row>
    <row r="217" spans="1:14" x14ac:dyDescent="0.3">
      <c r="A217" t="s">
        <v>227</v>
      </c>
      <c r="B217" t="str" cm="1">
        <f t="array" ref="B217">INDEX([1]Sheet1!$A$2:$A$26, INT((ROW()-5)/10)+1)</f>
        <v>Mahindra &amp; Mahindra</v>
      </c>
      <c r="C217" t="str">
        <f>VLOOKUP(B217, [1]Sheet1!$A:$B, 2, FALSE)</f>
        <v>Automobile</v>
      </c>
      <c r="D217">
        <f ca="1">VLOOKUP($B217, [1]Sheet1!$A:$F, 3, FALSE) * (RANDBETWEEN(10,25)/100)</f>
        <v>922944000000</v>
      </c>
      <c r="E217">
        <f t="shared" ca="1" si="26"/>
        <v>-922944000000</v>
      </c>
      <c r="F217">
        <f ca="1">VLOOKUP($B217, [1]Sheet1!$A:$F, 4, FALSE) * (RANDBETWEEN(40,70)/100)</f>
        <v>145631800000</v>
      </c>
      <c r="G217">
        <f ca="1">VLOOKUP($B217, [1]Sheet1!$A:$F, 5, FALSE) * (RANDBETWEEN(60,100)/100)</f>
        <v>29906100000</v>
      </c>
      <c r="H217">
        <f t="shared" ca="1" si="25"/>
        <v>31700466000</v>
      </c>
      <c r="I217">
        <f t="shared" ca="1" si="27"/>
        <v>5</v>
      </c>
      <c r="J217">
        <f t="shared" ca="1" si="28"/>
        <v>0.1</v>
      </c>
      <c r="K217">
        <f t="shared" ca="1" si="32"/>
        <v>-742018640120.21045</v>
      </c>
      <c r="L217" s="4">
        <f t="shared" ca="1" si="29"/>
        <v>-1</v>
      </c>
      <c r="M217" t="str">
        <f t="shared" ca="1" si="30"/>
        <v>&gt;3</v>
      </c>
      <c r="N217" t="str">
        <f t="shared" ca="1" si="31"/>
        <v>Reject</v>
      </c>
    </row>
    <row r="218" spans="1:14" x14ac:dyDescent="0.3">
      <c r="A218" t="s">
        <v>228</v>
      </c>
      <c r="B218" t="str" cm="1">
        <f t="array" ref="B218">INDEX([1]Sheet1!$A$2:$A$26, INT((ROW()-5)/10)+1)</f>
        <v>Mahindra &amp; Mahindra</v>
      </c>
      <c r="C218" t="str">
        <f>VLOOKUP(B218, [1]Sheet1!$A:$B, 2, FALSE)</f>
        <v>Automobile</v>
      </c>
      <c r="D218">
        <f ca="1">VLOOKUP($B218, [1]Sheet1!$A:$F, 3, FALSE) * (RANDBETWEEN(10,25)/100)</f>
        <v>797088000000</v>
      </c>
      <c r="E218">
        <f t="shared" ca="1" si="26"/>
        <v>-797088000000</v>
      </c>
      <c r="F218">
        <f ca="1">VLOOKUP($B218, [1]Sheet1!$A:$F, 4, FALSE) * (RANDBETWEEN(40,70)/100)</f>
        <v>93956000000</v>
      </c>
      <c r="G218">
        <f ca="1">VLOOKUP($B218, [1]Sheet1!$A:$F, 5, FALSE) * (RANDBETWEEN(60,100)/100)</f>
        <v>23543100000</v>
      </c>
      <c r="H218">
        <f t="shared" ca="1" si="25"/>
        <v>24955686000</v>
      </c>
      <c r="I218">
        <f t="shared" ca="1" si="27"/>
        <v>7</v>
      </c>
      <c r="J218">
        <f t="shared" ca="1" si="28"/>
        <v>0.12</v>
      </c>
      <c r="K218">
        <f t="shared" ca="1" si="32"/>
        <v>-676667334741.70923</v>
      </c>
      <c r="L218" s="4">
        <f t="shared" ca="1" si="29"/>
        <v>-0.60576357474279363</v>
      </c>
      <c r="M218" t="str">
        <f t="shared" ca="1" si="30"/>
        <v>&gt;3</v>
      </c>
      <c r="N218" t="str">
        <f t="shared" ca="1" si="31"/>
        <v>Reject</v>
      </c>
    </row>
    <row r="219" spans="1:14" x14ac:dyDescent="0.3">
      <c r="A219" t="s">
        <v>229</v>
      </c>
      <c r="B219" t="str" cm="1">
        <f t="array" ref="B219">INDEX([1]Sheet1!$A$2:$A$26, INT((ROW()-5)/10)+1)</f>
        <v>Mahindra &amp; Mahindra</v>
      </c>
      <c r="C219" t="str">
        <f>VLOOKUP(B219, [1]Sheet1!$A:$B, 2, FALSE)</f>
        <v>Automobile</v>
      </c>
      <c r="D219">
        <f ca="1">VLOOKUP($B219, [1]Sheet1!$A:$F, 3, FALSE) * (RANDBETWEEN(10,25)/100)</f>
        <v>503424000000</v>
      </c>
      <c r="E219">
        <f t="shared" ca="1" si="26"/>
        <v>-503424000000</v>
      </c>
      <c r="F219">
        <f ca="1">VLOOKUP($B219, [1]Sheet1!$A:$F, 4, FALSE) * (RANDBETWEEN(40,70)/100)</f>
        <v>110398300000</v>
      </c>
      <c r="G219">
        <f ca="1">VLOOKUP($B219, [1]Sheet1!$A:$F, 5, FALSE) * (RANDBETWEEN(60,100)/100)</f>
        <v>29269800000</v>
      </c>
      <c r="H219">
        <f t="shared" ca="1" si="25"/>
        <v>31904082000.000004</v>
      </c>
      <c r="I219">
        <f t="shared" ca="1" si="27"/>
        <v>7</v>
      </c>
      <c r="J219">
        <f t="shared" ca="1" si="28"/>
        <v>0.12</v>
      </c>
      <c r="K219">
        <f t="shared" ca="1" si="32"/>
        <v>-358811688536.35205</v>
      </c>
      <c r="L219" s="4">
        <f t="shared" ca="1" si="29"/>
        <v>-0.4578502645118312</v>
      </c>
      <c r="M219" t="str">
        <f t="shared" ca="1" si="30"/>
        <v>&gt;3</v>
      </c>
      <c r="N219" t="str">
        <f t="shared" ca="1" si="31"/>
        <v>Reject</v>
      </c>
    </row>
    <row r="220" spans="1:14" x14ac:dyDescent="0.3">
      <c r="A220" t="s">
        <v>230</v>
      </c>
      <c r="B220" t="str" cm="1">
        <f t="array" ref="B220">INDEX([1]Sheet1!$A$2:$A$26, INT((ROW()-5)/10)+1)</f>
        <v>Mahindra &amp; Mahindra</v>
      </c>
      <c r="C220" t="str">
        <f>VLOOKUP(B220, [1]Sheet1!$A:$B, 2, FALSE)</f>
        <v>Automobile</v>
      </c>
      <c r="D220">
        <f ca="1">VLOOKUP($B220, [1]Sheet1!$A:$F, 3, FALSE) * (RANDBETWEEN(10,25)/100)</f>
        <v>880992000000</v>
      </c>
      <c r="E220">
        <f t="shared" ca="1" si="26"/>
        <v>-880992000000</v>
      </c>
      <c r="F220">
        <f ca="1">VLOOKUP($B220, [1]Sheet1!$A:$F, 4, FALSE) * (RANDBETWEEN(40,70)/100)</f>
        <v>150329600000</v>
      </c>
      <c r="G220">
        <f ca="1">VLOOKUP($B220, [1]Sheet1!$A:$F, 5, FALSE) * (RANDBETWEEN(60,100)/100)</f>
        <v>22588650000</v>
      </c>
      <c r="H220">
        <f t="shared" ca="1" si="25"/>
        <v>27106380000</v>
      </c>
      <c r="I220">
        <f t="shared" ca="1" si="27"/>
        <v>5</v>
      </c>
      <c r="J220">
        <f t="shared" ca="1" si="28"/>
        <v>0.1</v>
      </c>
      <c r="K220">
        <f t="shared" ca="1" si="32"/>
        <v>-705294996994.74084</v>
      </c>
      <c r="L220" s="4">
        <f t="shared" ca="1" si="29"/>
        <v>-1</v>
      </c>
      <c r="M220" t="str">
        <f t="shared" ca="1" si="30"/>
        <v>&gt;3</v>
      </c>
      <c r="N220" t="str">
        <f t="shared" ca="1" si="31"/>
        <v>Reject</v>
      </c>
    </row>
    <row r="221" spans="1:14" x14ac:dyDescent="0.3">
      <c r="A221" t="s">
        <v>231</v>
      </c>
      <c r="B221" t="str" cm="1">
        <f t="array" ref="B221">INDEX([1]Sheet1!$A$2:$A$26, INT((ROW()-5)/10)+1)</f>
        <v>Mahindra &amp; Mahindra</v>
      </c>
      <c r="C221" t="str">
        <f>VLOOKUP(B221, [1]Sheet1!$A:$B, 2, FALSE)</f>
        <v>Automobile</v>
      </c>
      <c r="D221">
        <f ca="1">VLOOKUP($B221, [1]Sheet1!$A:$F, 3, FALSE) * (RANDBETWEEN(10,25)/100)</f>
        <v>1006848000000</v>
      </c>
      <c r="E221">
        <f t="shared" ca="1" si="26"/>
        <v>-1006848000000</v>
      </c>
      <c r="F221">
        <f ca="1">VLOOKUP($B221, [1]Sheet1!$A:$F, 4, FALSE) * (RANDBETWEEN(40,70)/100)</f>
        <v>136236199999.99998</v>
      </c>
      <c r="G221">
        <f ca="1">VLOOKUP($B221, [1]Sheet1!$A:$F, 5, FALSE) * (RANDBETWEEN(60,100)/100)</f>
        <v>22588650000</v>
      </c>
      <c r="H221">
        <f t="shared" ca="1" si="25"/>
        <v>26202834000</v>
      </c>
      <c r="I221">
        <f t="shared" ca="1" si="27"/>
        <v>7</v>
      </c>
      <c r="J221">
        <f t="shared" ca="1" si="28"/>
        <v>0.12</v>
      </c>
      <c r="K221">
        <f t="shared" ca="1" si="32"/>
        <v>-848550342554.20923</v>
      </c>
      <c r="L221" s="4">
        <f t="shared" ca="1" si="29"/>
        <v>-1</v>
      </c>
      <c r="M221" t="str">
        <f t="shared" ca="1" si="30"/>
        <v>&gt;3</v>
      </c>
      <c r="N221" t="str">
        <f t="shared" ca="1" si="31"/>
        <v>Reject</v>
      </c>
    </row>
    <row r="222" spans="1:14" x14ac:dyDescent="0.3">
      <c r="A222" t="s">
        <v>232</v>
      </c>
      <c r="B222" t="str" cm="1">
        <f t="array" ref="B222">INDEX([1]Sheet1!$A$2:$A$26, INT((ROW()-5)/10)+1)</f>
        <v>Mahindra &amp; Mahindra</v>
      </c>
      <c r="C222" t="str">
        <f>VLOOKUP(B222, [1]Sheet1!$A:$B, 2, FALSE)</f>
        <v>Automobile</v>
      </c>
      <c r="D222">
        <f ca="1">VLOOKUP($B222, [1]Sheet1!$A:$F, 3, FALSE) * (RANDBETWEEN(10,25)/100)</f>
        <v>880992000000</v>
      </c>
      <c r="E222">
        <f t="shared" ca="1" si="26"/>
        <v>-880992000000</v>
      </c>
      <c r="F222">
        <f ca="1">VLOOKUP($B222, [1]Sheet1!$A:$F, 4, FALSE) * (RANDBETWEEN(40,70)/100)</f>
        <v>162074100000</v>
      </c>
      <c r="G222">
        <f ca="1">VLOOKUP($B222, [1]Sheet1!$A:$F, 5, FALSE) * (RANDBETWEEN(60,100)/100)</f>
        <v>27997200000</v>
      </c>
      <c r="H222">
        <f t="shared" ca="1" si="25"/>
        <v>29677032000</v>
      </c>
      <c r="I222">
        <f t="shared" ca="1" si="27"/>
        <v>5</v>
      </c>
      <c r="J222">
        <f t="shared" ca="1" si="28"/>
        <v>0.1</v>
      </c>
      <c r="K222">
        <f t="shared" ca="1" si="32"/>
        <v>-688216933884.29749</v>
      </c>
      <c r="L222" s="4">
        <f t="shared" ca="1" si="29"/>
        <v>-0.56497795113459537</v>
      </c>
      <c r="M222" t="str">
        <f t="shared" ca="1" si="30"/>
        <v>&gt;3</v>
      </c>
      <c r="N222" t="str">
        <f t="shared" ca="1" si="31"/>
        <v>Reject</v>
      </c>
    </row>
    <row r="223" spans="1:14" x14ac:dyDescent="0.3">
      <c r="A223" t="s">
        <v>233</v>
      </c>
      <c r="B223" t="str" cm="1">
        <f t="array" ref="B223">INDEX([1]Sheet1!$A$2:$A$26, INT((ROW()-5)/10)+1)</f>
        <v>Mahindra &amp; Mahindra</v>
      </c>
      <c r="C223" t="str">
        <f>VLOOKUP(B223, [1]Sheet1!$A:$B, 2, FALSE)</f>
        <v>Automobile</v>
      </c>
      <c r="D223">
        <f ca="1">VLOOKUP($B223, [1]Sheet1!$A:$F, 3, FALSE) * (RANDBETWEEN(10,25)/100)</f>
        <v>1048800000000</v>
      </c>
      <c r="E223">
        <f t="shared" ca="1" si="26"/>
        <v>-1048800000000</v>
      </c>
      <c r="F223">
        <f ca="1">VLOOKUP($B223, [1]Sheet1!$A:$F, 4, FALSE) * (RANDBETWEEN(40,70)/100)</f>
        <v>143282900000</v>
      </c>
      <c r="G223">
        <f ca="1">VLOOKUP($B223, [1]Sheet1!$A:$F, 5, FALSE) * (RANDBETWEEN(60,100)/100)</f>
        <v>21316050000</v>
      </c>
      <c r="H223">
        <f t="shared" ca="1" si="25"/>
        <v>22595013000</v>
      </c>
      <c r="I223">
        <f t="shared" ca="1" si="27"/>
        <v>5</v>
      </c>
      <c r="J223">
        <f t="shared" ca="1" si="28"/>
        <v>0.1</v>
      </c>
      <c r="K223">
        <f t="shared" ca="1" si="32"/>
        <v>-883950280240.42078</v>
      </c>
      <c r="L223" s="4">
        <f t="shared" ca="1" si="29"/>
        <v>-0.64033417054032116</v>
      </c>
      <c r="M223" t="str">
        <f t="shared" ca="1" si="30"/>
        <v>&gt;3</v>
      </c>
      <c r="N223" t="str">
        <f t="shared" ca="1" si="31"/>
        <v>Reject</v>
      </c>
    </row>
    <row r="224" spans="1:14" x14ac:dyDescent="0.3">
      <c r="A224" t="s">
        <v>234</v>
      </c>
      <c r="B224" t="str" cm="1">
        <f t="array" ref="B224">INDEX([1]Sheet1!$A$2:$A$26, INT((ROW()-5)/10)+1)</f>
        <v>Mahindra &amp; Mahindra</v>
      </c>
      <c r="C224" t="str">
        <f>VLOOKUP(B224, [1]Sheet1!$A:$B, 2, FALSE)</f>
        <v>Automobile</v>
      </c>
      <c r="D224">
        <f ca="1">VLOOKUP($B224, [1]Sheet1!$A:$F, 3, FALSE) * (RANDBETWEEN(10,25)/100)</f>
        <v>797088000000</v>
      </c>
      <c r="E224">
        <f t="shared" ca="1" si="26"/>
        <v>-797088000000</v>
      </c>
      <c r="F224">
        <f ca="1">VLOOKUP($B224, [1]Sheet1!$A:$F, 4, FALSE) * (RANDBETWEEN(40,70)/100)</f>
        <v>164423000000</v>
      </c>
      <c r="G224">
        <f ca="1">VLOOKUP($B224, [1]Sheet1!$A:$F, 5, FALSE) * (RANDBETWEEN(60,100)/100)</f>
        <v>26406450000</v>
      </c>
      <c r="H224">
        <f t="shared" ca="1" si="25"/>
        <v>30895546500</v>
      </c>
      <c r="I224">
        <f t="shared" ca="1" si="27"/>
        <v>4</v>
      </c>
      <c r="J224">
        <f t="shared" ca="1" si="28"/>
        <v>0.1</v>
      </c>
      <c r="K224">
        <f t="shared" ca="1" si="32"/>
        <v>-602576751690.45825</v>
      </c>
      <c r="L224" s="4">
        <f t="shared" ca="1" si="29"/>
        <v>-1</v>
      </c>
      <c r="M224" t="str">
        <f t="shared" ca="1" si="30"/>
        <v>&gt;3</v>
      </c>
      <c r="N224" t="str">
        <f t="shared" ca="1" si="31"/>
        <v>Reject</v>
      </c>
    </row>
    <row r="225" spans="1:14" x14ac:dyDescent="0.3">
      <c r="A225" t="s">
        <v>235</v>
      </c>
      <c r="B225" t="str" cm="1">
        <f t="array" ref="B225">INDEX([1]Sheet1!$A$2:$A$26, INT((ROW()-5)/10)+1)</f>
        <v>Maruti Suzuki</v>
      </c>
      <c r="C225" t="str">
        <f>VLOOKUP(B225, [1]Sheet1!$A:$B, 2, FALSE)</f>
        <v>Automobile</v>
      </c>
      <c r="D225">
        <f ca="1">VLOOKUP($B225, [1]Sheet1!$A:$F, 3, FALSE) * (RANDBETWEEN(10,25)/100)</f>
        <v>928625000000</v>
      </c>
      <c r="E225">
        <f t="shared" ca="1" si="26"/>
        <v>-928625000000</v>
      </c>
      <c r="F225">
        <f ca="1">VLOOKUP($B225, [1]Sheet1!$A:$F, 4, FALSE) * (RANDBETWEEN(40,70)/100)</f>
        <v>160291200000</v>
      </c>
      <c r="G225">
        <f ca="1">VLOOKUP($B225, [1]Sheet1!$A:$F, 5, FALSE) * (RANDBETWEEN(60,100)/100)</f>
        <v>19416600000</v>
      </c>
      <c r="H225">
        <f t="shared" ca="1" si="25"/>
        <v>21164094000</v>
      </c>
      <c r="I225">
        <f t="shared" ca="1" si="27"/>
        <v>4</v>
      </c>
      <c r="J225">
        <f t="shared" ca="1" si="28"/>
        <v>0.1</v>
      </c>
      <c r="K225">
        <f t="shared" ca="1" si="32"/>
        <v>-750958053343.35083</v>
      </c>
      <c r="L225" s="4">
        <f t="shared" ca="1" si="29"/>
        <v>-0.61721894907047026</v>
      </c>
      <c r="M225" t="str">
        <f t="shared" ca="1" si="30"/>
        <v>&gt;3</v>
      </c>
      <c r="N225" t="str">
        <f t="shared" ca="1" si="31"/>
        <v>Reject</v>
      </c>
    </row>
    <row r="226" spans="1:14" x14ac:dyDescent="0.3">
      <c r="A226" t="s">
        <v>236</v>
      </c>
      <c r="B226" t="str" cm="1">
        <f t="array" ref="B226">INDEX([1]Sheet1!$A$2:$A$26, INT((ROW()-5)/10)+1)</f>
        <v>Maruti Suzuki</v>
      </c>
      <c r="C226" t="str">
        <f>VLOOKUP(B226, [1]Sheet1!$A:$B, 2, FALSE)</f>
        <v>Automobile</v>
      </c>
      <c r="D226">
        <f ca="1">VLOOKUP($B226, [1]Sheet1!$A:$F, 3, FALSE) * (RANDBETWEEN(10,25)/100)</f>
        <v>445740000000</v>
      </c>
      <c r="E226">
        <f t="shared" ca="1" si="26"/>
        <v>-445740000000</v>
      </c>
      <c r="F226">
        <f ca="1">VLOOKUP($B226, [1]Sheet1!$A:$F, 4, FALSE) * (RANDBETWEEN(40,70)/100)</f>
        <v>150273000000</v>
      </c>
      <c r="G226">
        <f ca="1">VLOOKUP($B226, [1]Sheet1!$A:$F, 5, FALSE) * (RANDBETWEEN(60,100)/100)</f>
        <v>26951400000</v>
      </c>
      <c r="H226">
        <f t="shared" ca="1" si="25"/>
        <v>30185568000.000004</v>
      </c>
      <c r="I226">
        <f t="shared" ca="1" si="27"/>
        <v>7</v>
      </c>
      <c r="J226">
        <f t="shared" ca="1" si="28"/>
        <v>0.12</v>
      </c>
      <c r="K226">
        <f t="shared" ca="1" si="32"/>
        <v>-268596696428.57147</v>
      </c>
      <c r="L226" s="4">
        <f t="shared" ca="1" si="29"/>
        <v>-0.38528991190799966</v>
      </c>
      <c r="M226" t="str">
        <f t="shared" ca="1" si="30"/>
        <v>&gt;3</v>
      </c>
      <c r="N226" t="str">
        <f t="shared" ca="1" si="31"/>
        <v>Reject</v>
      </c>
    </row>
    <row r="227" spans="1:14" x14ac:dyDescent="0.3">
      <c r="A227" t="s">
        <v>237</v>
      </c>
      <c r="B227" t="str" cm="1">
        <f t="array" ref="B227">INDEX([1]Sheet1!$A$2:$A$26, INT((ROW()-5)/10)+1)</f>
        <v>Maruti Suzuki</v>
      </c>
      <c r="C227" t="str">
        <f>VLOOKUP(B227, [1]Sheet1!$A:$B, 2, FALSE)</f>
        <v>Automobile</v>
      </c>
      <c r="D227">
        <f ca="1">VLOOKUP($B227, [1]Sheet1!$A:$F, 3, FALSE) * (RANDBETWEEN(10,25)/100)</f>
        <v>557175000000</v>
      </c>
      <c r="E227">
        <f t="shared" ca="1" si="26"/>
        <v>-557175000000</v>
      </c>
      <c r="F227">
        <f ca="1">VLOOKUP($B227, [1]Sheet1!$A:$F, 4, FALSE) * (RANDBETWEEN(40,70)/100)</f>
        <v>150273000000</v>
      </c>
      <c r="G227">
        <f ca="1">VLOOKUP($B227, [1]Sheet1!$A:$F, 5, FALSE) * (RANDBETWEEN(60,100)/100)</f>
        <v>27820800000</v>
      </c>
      <c r="H227">
        <f t="shared" ca="1" si="25"/>
        <v>33384960000</v>
      </c>
      <c r="I227">
        <f t="shared" ca="1" si="27"/>
        <v>6</v>
      </c>
      <c r="J227">
        <f t="shared" ca="1" si="28"/>
        <v>0.1</v>
      </c>
      <c r="K227">
        <f t="shared" ca="1" si="32"/>
        <v>-372488170548.45984</v>
      </c>
      <c r="L227" s="4">
        <f t="shared" ca="1" si="29"/>
        <v>-0.44543099407908748</v>
      </c>
      <c r="M227" t="str">
        <f t="shared" ca="1" si="30"/>
        <v>&gt;3</v>
      </c>
      <c r="N227" t="str">
        <f t="shared" ca="1" si="31"/>
        <v>Reject</v>
      </c>
    </row>
    <row r="228" spans="1:14" x14ac:dyDescent="0.3">
      <c r="A228" t="s">
        <v>238</v>
      </c>
      <c r="B228" t="str" cm="1">
        <f t="array" ref="B228">INDEX([1]Sheet1!$A$2:$A$26, INT((ROW()-5)/10)+1)</f>
        <v>Maruti Suzuki</v>
      </c>
      <c r="C228" t="str">
        <f>VLOOKUP(B228, [1]Sheet1!$A:$B, 2, FALSE)</f>
        <v>Automobile</v>
      </c>
      <c r="D228">
        <f ca="1">VLOOKUP($B228, [1]Sheet1!$A:$F, 3, FALSE) * (RANDBETWEEN(10,25)/100)</f>
        <v>705755000000</v>
      </c>
      <c r="E228">
        <f t="shared" ca="1" si="26"/>
        <v>-705755000000</v>
      </c>
      <c r="F228">
        <f ca="1">VLOOKUP($B228, [1]Sheet1!$A:$F, 4, FALSE) * (RANDBETWEEN(40,70)/100)</f>
        <v>187006400000.00003</v>
      </c>
      <c r="G228">
        <f ca="1">VLOOKUP($B228, [1]Sheet1!$A:$F, 5, FALSE) * (RANDBETWEEN(60,100)/100)</f>
        <v>19996200000</v>
      </c>
      <c r="H228">
        <f t="shared" ca="1" si="25"/>
        <v>23195592000</v>
      </c>
      <c r="I228">
        <f t="shared" ca="1" si="27"/>
        <v>7</v>
      </c>
      <c r="J228">
        <f t="shared" ca="1" si="28"/>
        <v>0.12</v>
      </c>
      <c r="K228">
        <f t="shared" ca="1" si="32"/>
        <v>-506333987563.77551</v>
      </c>
      <c r="L228" s="4">
        <f t="shared" ca="1" si="29"/>
        <v>-0.52769921935923803</v>
      </c>
      <c r="M228" t="str">
        <f t="shared" ca="1" si="30"/>
        <v>&gt;3</v>
      </c>
      <c r="N228" t="str">
        <f t="shared" ca="1" si="31"/>
        <v>Reject</v>
      </c>
    </row>
    <row r="229" spans="1:14" x14ac:dyDescent="0.3">
      <c r="A229" t="s">
        <v>239</v>
      </c>
      <c r="B229" t="str" cm="1">
        <f t="array" ref="B229">INDEX([1]Sheet1!$A$2:$A$26, INT((ROW()-5)/10)+1)</f>
        <v>Maruti Suzuki</v>
      </c>
      <c r="C229" t="str">
        <f>VLOOKUP(B229, [1]Sheet1!$A:$B, 2, FALSE)</f>
        <v>Automobile</v>
      </c>
      <c r="D229">
        <f ca="1">VLOOKUP($B229, [1]Sheet1!$A:$F, 3, FALSE) * (RANDBETWEEN(10,25)/100)</f>
        <v>817190000000</v>
      </c>
      <c r="E229">
        <f t="shared" ca="1" si="26"/>
        <v>-817190000000</v>
      </c>
      <c r="F229">
        <f ca="1">VLOOKUP($B229, [1]Sheet1!$A:$F, 4, FALSE) * (RANDBETWEEN(40,70)/100)</f>
        <v>160291200000</v>
      </c>
      <c r="G229">
        <f ca="1">VLOOKUP($B229, [1]Sheet1!$A:$F, 5, FALSE) * (RANDBETWEEN(60,100)/100)</f>
        <v>23763600000</v>
      </c>
      <c r="H229">
        <f t="shared" ca="1" si="25"/>
        <v>27803412000</v>
      </c>
      <c r="I229">
        <f t="shared" ca="1" si="27"/>
        <v>6</v>
      </c>
      <c r="J229">
        <f t="shared" ca="1" si="28"/>
        <v>0.1</v>
      </c>
      <c r="K229">
        <f t="shared" ca="1" si="32"/>
        <v>-630942273478.58752</v>
      </c>
      <c r="L229" s="4">
        <f t="shared" ca="1" si="29"/>
        <v>-1</v>
      </c>
      <c r="M229" t="str">
        <f t="shared" ca="1" si="30"/>
        <v>&gt;3</v>
      </c>
      <c r="N229" t="str">
        <f t="shared" ca="1" si="31"/>
        <v>Reject</v>
      </c>
    </row>
    <row r="230" spans="1:14" x14ac:dyDescent="0.3">
      <c r="A230" t="s">
        <v>240</v>
      </c>
      <c r="B230" t="str" cm="1">
        <f t="array" ref="B230">INDEX([1]Sheet1!$A$2:$A$26, INT((ROW()-5)/10)+1)</f>
        <v>Maruti Suzuki</v>
      </c>
      <c r="C230" t="str">
        <f>VLOOKUP(B230, [1]Sheet1!$A:$B, 2, FALSE)</f>
        <v>Automobile</v>
      </c>
      <c r="D230">
        <f ca="1">VLOOKUP($B230, [1]Sheet1!$A:$F, 3, FALSE) * (RANDBETWEEN(10,25)/100)</f>
        <v>780045000000</v>
      </c>
      <c r="E230">
        <f t="shared" ca="1" si="26"/>
        <v>-780045000000</v>
      </c>
      <c r="F230">
        <f ca="1">VLOOKUP($B230, [1]Sheet1!$A:$F, 4, FALSE) * (RANDBETWEEN(40,70)/100)</f>
        <v>210382200000</v>
      </c>
      <c r="G230">
        <f ca="1">VLOOKUP($B230, [1]Sheet1!$A:$F, 5, FALSE) * (RANDBETWEEN(60,100)/100)</f>
        <v>20865600000</v>
      </c>
      <c r="H230">
        <f t="shared" ca="1" si="25"/>
        <v>24830064000</v>
      </c>
      <c r="I230">
        <f t="shared" ca="1" si="27"/>
        <v>7</v>
      </c>
      <c r="J230">
        <f t="shared" ca="1" si="28"/>
        <v>0.12</v>
      </c>
      <c r="K230">
        <f t="shared" ca="1" si="32"/>
        <v>-557896272321.42859</v>
      </c>
      <c r="L230" s="4">
        <f t="shared" ca="1" si="29"/>
        <v>-0.52958580370586539</v>
      </c>
      <c r="M230" t="str">
        <f t="shared" ca="1" si="30"/>
        <v>&gt;3</v>
      </c>
      <c r="N230" t="str">
        <f t="shared" ca="1" si="31"/>
        <v>Reject</v>
      </c>
    </row>
    <row r="231" spans="1:14" x14ac:dyDescent="0.3">
      <c r="A231" t="s">
        <v>241</v>
      </c>
      <c r="B231" t="str" cm="1">
        <f t="array" ref="B231">INDEX([1]Sheet1!$A$2:$A$26, INT((ROW()-5)/10)+1)</f>
        <v>Maruti Suzuki</v>
      </c>
      <c r="C231" t="str">
        <f>VLOOKUP(B231, [1]Sheet1!$A:$B, 2, FALSE)</f>
        <v>Automobile</v>
      </c>
      <c r="D231">
        <f ca="1">VLOOKUP($B231, [1]Sheet1!$A:$F, 3, FALSE) * (RANDBETWEEN(10,25)/100)</f>
        <v>854335000000</v>
      </c>
      <c r="E231">
        <f t="shared" ca="1" si="26"/>
        <v>-854335000000</v>
      </c>
      <c r="F231">
        <f ca="1">VLOOKUP($B231, [1]Sheet1!$A:$F, 4, FALSE) * (RANDBETWEEN(40,70)/100)</f>
        <v>210382200000</v>
      </c>
      <c r="G231">
        <f ca="1">VLOOKUP($B231, [1]Sheet1!$A:$F, 5, FALSE) * (RANDBETWEEN(60,100)/100)</f>
        <v>17388000000</v>
      </c>
      <c r="H231">
        <f t="shared" ca="1" si="25"/>
        <v>18257400000</v>
      </c>
      <c r="I231">
        <f t="shared" ca="1" si="27"/>
        <v>5</v>
      </c>
      <c r="J231">
        <f t="shared" ca="1" si="28"/>
        <v>0.1</v>
      </c>
      <c r="K231">
        <f t="shared" ca="1" si="32"/>
        <v>-634991151765.58984</v>
      </c>
      <c r="L231" s="4">
        <f t="shared" ca="1" si="29"/>
        <v>-1</v>
      </c>
      <c r="M231" t="str">
        <f t="shared" ca="1" si="30"/>
        <v>&gt;3</v>
      </c>
      <c r="N231" t="str">
        <f t="shared" ca="1" si="31"/>
        <v>Reject</v>
      </c>
    </row>
    <row r="232" spans="1:14" x14ac:dyDescent="0.3">
      <c r="A232" t="s">
        <v>242</v>
      </c>
      <c r="B232" t="str" cm="1">
        <f t="array" ref="B232">INDEX([1]Sheet1!$A$2:$A$26, INT((ROW()-5)/10)+1)</f>
        <v>Maruti Suzuki</v>
      </c>
      <c r="C232" t="str">
        <f>VLOOKUP(B232, [1]Sheet1!$A:$B, 2, FALSE)</f>
        <v>Automobile</v>
      </c>
      <c r="D232">
        <f ca="1">VLOOKUP($B232, [1]Sheet1!$A:$F, 3, FALSE) * (RANDBETWEEN(10,25)/100)</f>
        <v>371450000000</v>
      </c>
      <c r="E232">
        <f t="shared" ca="1" si="26"/>
        <v>-371450000000</v>
      </c>
      <c r="F232">
        <f ca="1">VLOOKUP($B232, [1]Sheet1!$A:$F, 4, FALSE) * (RANDBETWEEN(40,70)/100)</f>
        <v>143594200000</v>
      </c>
      <c r="G232">
        <f ca="1">VLOOKUP($B232, [1]Sheet1!$A:$F, 5, FALSE) * (RANDBETWEEN(60,100)/100)</f>
        <v>26082000000</v>
      </c>
      <c r="H232">
        <f t="shared" ca="1" si="25"/>
        <v>28429380000.000004</v>
      </c>
      <c r="I232">
        <f t="shared" ca="1" si="27"/>
        <v>5</v>
      </c>
      <c r="J232">
        <f t="shared" ca="1" si="28"/>
        <v>0.1</v>
      </c>
      <c r="K232">
        <f t="shared" ca="1" si="32"/>
        <v>-197995032306.53647</v>
      </c>
      <c r="L232" s="4">
        <f t="shared" ca="1" si="29"/>
        <v>-0.33485867952606507</v>
      </c>
      <c r="M232" t="str">
        <f t="shared" ca="1" si="30"/>
        <v>&gt;3</v>
      </c>
      <c r="N232" t="str">
        <f t="shared" ca="1" si="31"/>
        <v>Reject</v>
      </c>
    </row>
    <row r="233" spans="1:14" x14ac:dyDescent="0.3">
      <c r="A233" t="s">
        <v>243</v>
      </c>
      <c r="B233" t="str" cm="1">
        <f t="array" ref="B233">INDEX([1]Sheet1!$A$2:$A$26, INT((ROW()-5)/10)+1)</f>
        <v>Maruti Suzuki</v>
      </c>
      <c r="C233" t="str">
        <f>VLOOKUP(B233, [1]Sheet1!$A:$B, 2, FALSE)</f>
        <v>Automobile</v>
      </c>
      <c r="D233">
        <f ca="1">VLOOKUP($B233, [1]Sheet1!$A:$F, 3, FALSE) * (RANDBETWEEN(10,25)/100)</f>
        <v>482885000000</v>
      </c>
      <c r="E233">
        <f t="shared" ca="1" si="26"/>
        <v>-482885000000</v>
      </c>
      <c r="F233">
        <f ca="1">VLOOKUP($B233, [1]Sheet1!$A:$F, 4, FALSE) * (RANDBETWEEN(40,70)/100)</f>
        <v>183667000000</v>
      </c>
      <c r="G233">
        <f ca="1">VLOOKUP($B233, [1]Sheet1!$A:$F, 5, FALSE) * (RANDBETWEEN(60,100)/100)</f>
        <v>24922800000</v>
      </c>
      <c r="H233">
        <f t="shared" ca="1" si="25"/>
        <v>27913536000.000004</v>
      </c>
      <c r="I233">
        <f t="shared" ca="1" si="27"/>
        <v>5</v>
      </c>
      <c r="J233">
        <f t="shared" ca="1" si="28"/>
        <v>0.1</v>
      </c>
      <c r="K233">
        <f t="shared" ca="1" si="32"/>
        <v>-274345791885.80017</v>
      </c>
      <c r="L233" s="4">
        <f t="shared" ca="1" si="29"/>
        <v>-0.38370666408941334</v>
      </c>
      <c r="M233" t="str">
        <f t="shared" ca="1" si="30"/>
        <v>&gt;3</v>
      </c>
      <c r="N233" t="str">
        <f t="shared" ca="1" si="31"/>
        <v>Reject</v>
      </c>
    </row>
    <row r="234" spans="1:14" x14ac:dyDescent="0.3">
      <c r="A234" t="s">
        <v>244</v>
      </c>
      <c r="B234" t="str" cm="1">
        <f t="array" ref="B234">INDEX([1]Sheet1!$A$2:$A$26, INT((ROW()-5)/10)+1)</f>
        <v>Maruti Suzuki</v>
      </c>
      <c r="C234" t="str">
        <f>VLOOKUP(B234, [1]Sheet1!$A:$B, 2, FALSE)</f>
        <v>Automobile</v>
      </c>
      <c r="D234">
        <f ca="1">VLOOKUP($B234, [1]Sheet1!$A:$F, 3, FALSE) * (RANDBETWEEN(10,25)/100)</f>
        <v>445740000000</v>
      </c>
      <c r="E234">
        <f t="shared" ca="1" si="26"/>
        <v>-445740000000</v>
      </c>
      <c r="F234">
        <f ca="1">VLOOKUP($B234, [1]Sheet1!$A:$F, 4, FALSE) * (RANDBETWEEN(40,70)/100)</f>
        <v>176988200000</v>
      </c>
      <c r="G234">
        <f ca="1">VLOOKUP($B234, [1]Sheet1!$A:$F, 5, FALSE) * (RANDBETWEEN(60,100)/100)</f>
        <v>23184000000</v>
      </c>
      <c r="H234">
        <f t="shared" ca="1" si="25"/>
        <v>27820800000</v>
      </c>
      <c r="I234">
        <f t="shared" ca="1" si="27"/>
        <v>5</v>
      </c>
      <c r="J234">
        <f t="shared" ca="1" si="28"/>
        <v>0.1</v>
      </c>
      <c r="K234">
        <f t="shared" ca="1" si="32"/>
        <v>-244779126972.20139</v>
      </c>
      <c r="L234" s="4">
        <f t="shared" ca="1" si="29"/>
        <v>-0.36576384999514422</v>
      </c>
      <c r="M234" t="str">
        <f t="shared" ca="1" si="30"/>
        <v>&gt;3</v>
      </c>
      <c r="N234" t="str">
        <f t="shared" ca="1" si="31"/>
        <v>Reject</v>
      </c>
    </row>
    <row r="235" spans="1:14" x14ac:dyDescent="0.3">
      <c r="A235" t="s">
        <v>245</v>
      </c>
      <c r="B235" t="str" cm="1">
        <f t="array" ref="B235">INDEX([1]Sheet1!$A$2:$A$26, INT((ROW()-5)/10)+1)</f>
        <v>Hyundai India</v>
      </c>
      <c r="C235" t="str">
        <f>VLOOKUP(B235, [1]Sheet1!$A:$B, 2, FALSE)</f>
        <v>Automobile</v>
      </c>
      <c r="D235">
        <f ca="1">VLOOKUP($B235, [1]Sheet1!$A:$F, 3, FALSE) * (RANDBETWEEN(10,25)/100)</f>
        <v>961400000000</v>
      </c>
      <c r="E235">
        <f t="shared" ca="1" si="26"/>
        <v>-961400000000</v>
      </c>
      <c r="F235">
        <f ca="1">VLOOKUP($B235, [1]Sheet1!$A:$F, 4, FALSE) * (RANDBETWEEN(40,70)/100)</f>
        <v>206816400000</v>
      </c>
      <c r="G235">
        <f ca="1">VLOOKUP($B235, [1]Sheet1!$A:$F, 5, FALSE) * (RANDBETWEEN(60,100)/100)</f>
        <v>25099200000</v>
      </c>
      <c r="H235">
        <f t="shared" ca="1" si="25"/>
        <v>27107136000</v>
      </c>
      <c r="I235">
        <f t="shared" ca="1" si="27"/>
        <v>4</v>
      </c>
      <c r="J235">
        <f t="shared" ca="1" si="28"/>
        <v>0.1</v>
      </c>
      <c r="K235">
        <f t="shared" ca="1" si="32"/>
        <v>-732275957926.37109</v>
      </c>
      <c r="L235" s="4">
        <f t="shared" ca="1" si="29"/>
        <v>-0.57090434516973354</v>
      </c>
      <c r="M235" t="str">
        <f t="shared" ca="1" si="30"/>
        <v>&gt;3</v>
      </c>
      <c r="N235" t="str">
        <f t="shared" ca="1" si="31"/>
        <v>Reject</v>
      </c>
    </row>
    <row r="236" spans="1:14" x14ac:dyDescent="0.3">
      <c r="A236" t="s">
        <v>246</v>
      </c>
      <c r="B236" t="str" cm="1">
        <f t="array" ref="B236">INDEX([1]Sheet1!$A$2:$A$26, INT((ROW()-5)/10)+1)</f>
        <v>Hyundai India</v>
      </c>
      <c r="C236" t="str">
        <f>VLOOKUP(B236, [1]Sheet1!$A:$B, 2, FALSE)</f>
        <v>Automobile</v>
      </c>
      <c r="D236">
        <f ca="1">VLOOKUP($B236, [1]Sheet1!$A:$F, 3, FALSE) * (RANDBETWEEN(10,25)/100)</f>
        <v>1153680000000</v>
      </c>
      <c r="E236">
        <f t="shared" ca="1" si="26"/>
        <v>-1153680000000</v>
      </c>
      <c r="F236">
        <f ca="1">VLOOKUP($B236, [1]Sheet1!$A:$F, 4, FALSE) * (RANDBETWEEN(40,70)/100)</f>
        <v>216664800000</v>
      </c>
      <c r="G236">
        <f ca="1">VLOOKUP($B236, [1]Sheet1!$A:$F, 5, FALSE) * (RANDBETWEEN(60,100)/100)</f>
        <v>20131650000</v>
      </c>
      <c r="H236">
        <f t="shared" ca="1" si="25"/>
        <v>23352714000</v>
      </c>
      <c r="I236">
        <f t="shared" ca="1" si="27"/>
        <v>4</v>
      </c>
      <c r="J236">
        <f t="shared" ca="1" si="28"/>
        <v>0.1</v>
      </c>
      <c r="K236">
        <f t="shared" ca="1" si="32"/>
        <v>-922529033057.85132</v>
      </c>
      <c r="L236" s="4">
        <f t="shared" ca="1" si="29"/>
        <v>-0.62326129830998811</v>
      </c>
      <c r="M236" t="str">
        <f t="shared" ca="1" si="30"/>
        <v>&gt;3</v>
      </c>
      <c r="N236" t="str">
        <f t="shared" ca="1" si="31"/>
        <v>Reject</v>
      </c>
    </row>
    <row r="237" spans="1:14" x14ac:dyDescent="0.3">
      <c r="A237" t="s">
        <v>247</v>
      </c>
      <c r="B237" t="str" cm="1">
        <f t="array" ref="B237">INDEX([1]Sheet1!$A$2:$A$26, INT((ROW()-5)/10)+1)</f>
        <v>Hyundai India</v>
      </c>
      <c r="C237" t="str">
        <f>VLOOKUP(B237, [1]Sheet1!$A:$B, 2, FALSE)</f>
        <v>Automobile</v>
      </c>
      <c r="D237">
        <f ca="1">VLOOKUP($B237, [1]Sheet1!$A:$F, 3, FALSE) * (RANDBETWEEN(10,25)/100)</f>
        <v>528770000000</v>
      </c>
      <c r="E237">
        <f t="shared" ca="1" si="26"/>
        <v>-528770000000</v>
      </c>
      <c r="F237">
        <f ca="1">VLOOKUP($B237, [1]Sheet1!$A:$F, 4, FALSE) * (RANDBETWEEN(40,70)/100)</f>
        <v>183836800000.00003</v>
      </c>
      <c r="G237">
        <f ca="1">VLOOKUP($B237, [1]Sheet1!$A:$F, 5, FALSE) * (RANDBETWEEN(60,100)/100)</f>
        <v>19085850000</v>
      </c>
      <c r="H237">
        <f t="shared" ca="1" si="25"/>
        <v>21376152000.000004</v>
      </c>
      <c r="I237">
        <f t="shared" ca="1" si="27"/>
        <v>7</v>
      </c>
      <c r="J237">
        <f t="shared" ca="1" si="28"/>
        <v>0.12</v>
      </c>
      <c r="K237">
        <f t="shared" ca="1" si="32"/>
        <v>-334199754464.28571</v>
      </c>
      <c r="L237" s="4">
        <f t="shared" ca="1" si="29"/>
        <v>-0.45190523543399841</v>
      </c>
      <c r="M237" t="str">
        <f t="shared" ca="1" si="30"/>
        <v>&gt;3</v>
      </c>
      <c r="N237" t="str">
        <f t="shared" ca="1" si="31"/>
        <v>Reject</v>
      </c>
    </row>
    <row r="238" spans="1:14" x14ac:dyDescent="0.3">
      <c r="A238" t="s">
        <v>248</v>
      </c>
      <c r="B238" t="str" cm="1">
        <f t="array" ref="B238">INDEX([1]Sheet1!$A$2:$A$26, INT((ROW()-5)/10)+1)</f>
        <v>Hyundai India</v>
      </c>
      <c r="C238" t="str">
        <f>VLOOKUP(B238, [1]Sheet1!$A:$B, 2, FALSE)</f>
        <v>Automobile</v>
      </c>
      <c r="D238">
        <f ca="1">VLOOKUP($B238, [1]Sheet1!$A:$F, 3, FALSE) * (RANDBETWEEN(10,25)/100)</f>
        <v>480700000000</v>
      </c>
      <c r="E238">
        <f t="shared" ca="1" si="26"/>
        <v>-480700000000</v>
      </c>
      <c r="F238">
        <f ca="1">VLOOKUP($B238, [1]Sheet1!$A:$F, 4, FALSE) * (RANDBETWEEN(40,70)/100)</f>
        <v>206816400000</v>
      </c>
      <c r="G238">
        <f ca="1">VLOOKUP($B238, [1]Sheet1!$A:$F, 5, FALSE) * (RANDBETWEEN(60,100)/100)</f>
        <v>24837750000</v>
      </c>
      <c r="H238">
        <f t="shared" ca="1" si="25"/>
        <v>28811789999.999996</v>
      </c>
      <c r="I238">
        <f t="shared" ca="1" si="27"/>
        <v>7</v>
      </c>
      <c r="J238">
        <f t="shared" ca="1" si="28"/>
        <v>0.12</v>
      </c>
      <c r="K238">
        <f t="shared" ca="1" si="32"/>
        <v>-255734334741.70923</v>
      </c>
      <c r="L238" s="4">
        <f t="shared" ca="1" si="29"/>
        <v>-0.34897571568664221</v>
      </c>
      <c r="M238" t="str">
        <f t="shared" ca="1" si="30"/>
        <v>&gt;3</v>
      </c>
      <c r="N238" t="str">
        <f t="shared" ca="1" si="31"/>
        <v>Reject</v>
      </c>
    </row>
    <row r="239" spans="1:14" x14ac:dyDescent="0.3">
      <c r="A239" t="s">
        <v>249</v>
      </c>
      <c r="B239" t="str" cm="1">
        <f t="array" ref="B239">INDEX([1]Sheet1!$A$2:$A$26, INT((ROW()-5)/10)+1)</f>
        <v>Hyundai India</v>
      </c>
      <c r="C239" t="str">
        <f>VLOOKUP(B239, [1]Sheet1!$A:$B, 2, FALSE)</f>
        <v>Automobile</v>
      </c>
      <c r="D239">
        <f ca="1">VLOOKUP($B239, [1]Sheet1!$A:$F, 3, FALSE) * (RANDBETWEEN(10,25)/100)</f>
        <v>817190000000</v>
      </c>
      <c r="E239">
        <f t="shared" ca="1" si="26"/>
        <v>-817190000000</v>
      </c>
      <c r="F239">
        <f ca="1">VLOOKUP($B239, [1]Sheet1!$A:$F, 4, FALSE) * (RANDBETWEEN(40,70)/100)</f>
        <v>229796000000</v>
      </c>
      <c r="G239">
        <f ca="1">VLOOKUP($B239, [1]Sheet1!$A:$F, 5, FALSE) * (RANDBETWEEN(60,100)/100)</f>
        <v>17517150000</v>
      </c>
      <c r="H239">
        <f t="shared" ca="1" si="25"/>
        <v>18568179000</v>
      </c>
      <c r="I239">
        <f t="shared" ca="1" si="27"/>
        <v>5</v>
      </c>
      <c r="J239">
        <f t="shared" ca="1" si="28"/>
        <v>0.1</v>
      </c>
      <c r="K239">
        <f t="shared" ca="1" si="32"/>
        <v>-579857014274.9812</v>
      </c>
      <c r="L239" s="4">
        <f t="shared" ca="1" si="29"/>
        <v>-0.5555439379621141</v>
      </c>
      <c r="M239" t="str">
        <f t="shared" ca="1" si="30"/>
        <v>&gt;3</v>
      </c>
      <c r="N239" t="str">
        <f t="shared" ca="1" si="31"/>
        <v>Reject</v>
      </c>
    </row>
    <row r="240" spans="1:14" x14ac:dyDescent="0.3">
      <c r="A240" t="s">
        <v>250</v>
      </c>
      <c r="B240" t="str" cm="1">
        <f t="array" ref="B240">INDEX([1]Sheet1!$A$2:$A$26, INT((ROW()-5)/10)+1)</f>
        <v>Hyundai India</v>
      </c>
      <c r="C240" t="str">
        <f>VLOOKUP(B240, [1]Sheet1!$A:$B, 2, FALSE)</f>
        <v>Automobile</v>
      </c>
      <c r="D240">
        <f ca="1">VLOOKUP($B240, [1]Sheet1!$A:$F, 3, FALSE) * (RANDBETWEEN(10,25)/100)</f>
        <v>672980000000.00012</v>
      </c>
      <c r="E240">
        <f t="shared" ca="1" si="26"/>
        <v>-672980000000.00012</v>
      </c>
      <c r="F240">
        <f ca="1">VLOOKUP($B240, [1]Sheet1!$A:$F, 4, FALSE) * (RANDBETWEEN(40,70)/100)</f>
        <v>190402400000</v>
      </c>
      <c r="G240">
        <f ca="1">VLOOKUP($B240, [1]Sheet1!$A:$F, 5, FALSE) * (RANDBETWEEN(60,100)/100)</f>
        <v>24837750000</v>
      </c>
      <c r="H240">
        <f t="shared" ca="1" si="25"/>
        <v>28315035000.000004</v>
      </c>
      <c r="I240">
        <f t="shared" ca="1" si="27"/>
        <v>6</v>
      </c>
      <c r="J240">
        <f t="shared" ca="1" si="28"/>
        <v>0.1</v>
      </c>
      <c r="K240">
        <f t="shared" ca="1" si="32"/>
        <v>-458086338091.66052</v>
      </c>
      <c r="L240" s="4">
        <f t="shared" ca="1" si="29"/>
        <v>-0.48601055512466473</v>
      </c>
      <c r="M240" t="str">
        <f t="shared" ca="1" si="30"/>
        <v>&gt;3</v>
      </c>
      <c r="N240" t="str">
        <f t="shared" ca="1" si="31"/>
        <v>Reject</v>
      </c>
    </row>
    <row r="241" spans="1:14" x14ac:dyDescent="0.3">
      <c r="A241" t="s">
        <v>251</v>
      </c>
      <c r="B241" t="str" cm="1">
        <f t="array" ref="B241">INDEX([1]Sheet1!$A$2:$A$26, INT((ROW()-5)/10)+1)</f>
        <v>Hyundai India</v>
      </c>
      <c r="C241" t="str">
        <f>VLOOKUP(B241, [1]Sheet1!$A:$B, 2, FALSE)</f>
        <v>Automobile</v>
      </c>
      <c r="D241">
        <f ca="1">VLOOKUP($B241, [1]Sheet1!$A:$F, 3, FALSE) * (RANDBETWEEN(10,25)/100)</f>
        <v>1153680000000</v>
      </c>
      <c r="E241">
        <f t="shared" ca="1" si="26"/>
        <v>-1153680000000</v>
      </c>
      <c r="F241">
        <f ca="1">VLOOKUP($B241, [1]Sheet1!$A:$F, 4, FALSE) * (RANDBETWEEN(40,70)/100)</f>
        <v>147726000000</v>
      </c>
      <c r="G241">
        <f ca="1">VLOOKUP($B241, [1]Sheet1!$A:$F, 5, FALSE) * (RANDBETWEEN(60,100)/100)</f>
        <v>24837750000</v>
      </c>
      <c r="H241">
        <f t="shared" ca="1" si="25"/>
        <v>28563412499.999996</v>
      </c>
      <c r="I241">
        <f t="shared" ca="1" si="27"/>
        <v>5</v>
      </c>
      <c r="J241">
        <f t="shared" ca="1" si="28"/>
        <v>0.1</v>
      </c>
      <c r="K241">
        <f t="shared" ca="1" si="32"/>
        <v>-977396455672.42676</v>
      </c>
      <c r="L241" s="4">
        <f t="shared" ca="1" si="29"/>
        <v>-1</v>
      </c>
      <c r="M241" t="str">
        <f t="shared" ca="1" si="30"/>
        <v>&gt;3</v>
      </c>
      <c r="N241" t="str">
        <f t="shared" ca="1" si="31"/>
        <v>Reject</v>
      </c>
    </row>
    <row r="242" spans="1:14" x14ac:dyDescent="0.3">
      <c r="A242" t="s">
        <v>252</v>
      </c>
      <c r="B242" t="str" cm="1">
        <f t="array" ref="B242">INDEX([1]Sheet1!$A$2:$A$26, INT((ROW()-5)/10)+1)</f>
        <v>Hyundai India</v>
      </c>
      <c r="C242" t="str">
        <f>VLOOKUP(B242, [1]Sheet1!$A:$B, 2, FALSE)</f>
        <v>Automobile</v>
      </c>
      <c r="D242">
        <f ca="1">VLOOKUP($B242, [1]Sheet1!$A:$F, 3, FALSE) * (RANDBETWEEN(10,25)/100)</f>
        <v>672980000000.00012</v>
      </c>
      <c r="E242">
        <f t="shared" ca="1" si="26"/>
        <v>-672980000000.00012</v>
      </c>
      <c r="F242">
        <f ca="1">VLOOKUP($B242, [1]Sheet1!$A:$F, 4, FALSE) * (RANDBETWEEN(40,70)/100)</f>
        <v>144443200000</v>
      </c>
      <c r="G242">
        <f ca="1">VLOOKUP($B242, [1]Sheet1!$A:$F, 5, FALSE) * (RANDBETWEEN(60,100)/100)</f>
        <v>16994250000</v>
      </c>
      <c r="H242">
        <f t="shared" ca="1" si="25"/>
        <v>18353790000</v>
      </c>
      <c r="I242">
        <f t="shared" ca="1" si="27"/>
        <v>7</v>
      </c>
      <c r="J242">
        <f t="shared" ca="1" si="28"/>
        <v>0.12</v>
      </c>
      <c r="K242">
        <f t="shared" ca="1" si="32"/>
        <v>-517401279894.77057</v>
      </c>
      <c r="L242" s="4">
        <f t="shared" ca="1" si="29"/>
        <v>-0.57497924131354672</v>
      </c>
      <c r="M242" t="str">
        <f t="shared" ca="1" si="30"/>
        <v>&gt;3</v>
      </c>
      <c r="N242" t="str">
        <f t="shared" ca="1" si="31"/>
        <v>Reject</v>
      </c>
    </row>
    <row r="243" spans="1:14" x14ac:dyDescent="0.3">
      <c r="A243" t="s">
        <v>253</v>
      </c>
      <c r="B243" t="str" cm="1">
        <f t="array" ref="B243">INDEX([1]Sheet1!$A$2:$A$26, INT((ROW()-5)/10)+1)</f>
        <v>Hyundai India</v>
      </c>
      <c r="C243" t="str">
        <f>VLOOKUP(B243, [1]Sheet1!$A:$B, 2, FALSE)</f>
        <v>Automobile</v>
      </c>
      <c r="D243">
        <f ca="1">VLOOKUP($B243, [1]Sheet1!$A:$F, 3, FALSE) * (RANDBETWEEN(10,25)/100)</f>
        <v>576840000000</v>
      </c>
      <c r="E243">
        <f t="shared" ca="1" si="26"/>
        <v>-576840000000</v>
      </c>
      <c r="F243">
        <f ca="1">VLOOKUP($B243, [1]Sheet1!$A:$F, 4, FALSE) * (RANDBETWEEN(40,70)/100)</f>
        <v>183836800000.00003</v>
      </c>
      <c r="G243">
        <f ca="1">VLOOKUP($B243, [1]Sheet1!$A:$F, 5, FALSE) * (RANDBETWEEN(60,100)/100)</f>
        <v>23007600000</v>
      </c>
      <c r="H243">
        <f t="shared" ca="1" si="25"/>
        <v>26458739999.999996</v>
      </c>
      <c r="I243">
        <f t="shared" ca="1" si="27"/>
        <v>4</v>
      </c>
      <c r="J243">
        <f t="shared" ca="1" si="28"/>
        <v>0.1</v>
      </c>
      <c r="K243">
        <f t="shared" ca="1" si="32"/>
        <v>-370822247933.88428</v>
      </c>
      <c r="L243" s="4">
        <f t="shared" ca="1" si="29"/>
        <v>-0.45423097614970309</v>
      </c>
      <c r="M243" t="str">
        <f t="shared" ca="1" si="30"/>
        <v>&gt;3</v>
      </c>
      <c r="N243" t="str">
        <f t="shared" ca="1" si="31"/>
        <v>Reject</v>
      </c>
    </row>
    <row r="244" spans="1:14" x14ac:dyDescent="0.3">
      <c r="A244" t="s">
        <v>254</v>
      </c>
      <c r="B244" t="str" cm="1">
        <f t="array" ref="B244">INDEX([1]Sheet1!$A$2:$A$26, INT((ROW()-5)/10)+1)</f>
        <v>Hyundai India</v>
      </c>
      <c r="C244" t="str">
        <f>VLOOKUP(B244, [1]Sheet1!$A:$B, 2, FALSE)</f>
        <v>Automobile</v>
      </c>
      <c r="D244">
        <f ca="1">VLOOKUP($B244, [1]Sheet1!$A:$F, 3, FALSE) * (RANDBETWEEN(10,25)/100)</f>
        <v>865260000000</v>
      </c>
      <c r="E244">
        <f t="shared" ca="1" si="26"/>
        <v>-865260000000</v>
      </c>
      <c r="F244">
        <f ca="1">VLOOKUP($B244, [1]Sheet1!$A:$F, 4, FALSE) * (RANDBETWEEN(40,70)/100)</f>
        <v>219947600000</v>
      </c>
      <c r="G244">
        <f ca="1">VLOOKUP($B244, [1]Sheet1!$A:$F, 5, FALSE) * (RANDBETWEEN(60,100)/100)</f>
        <v>17517150000</v>
      </c>
      <c r="H244">
        <f t="shared" ca="1" si="25"/>
        <v>20319894000</v>
      </c>
      <c r="I244">
        <f t="shared" ca="1" si="27"/>
        <v>5</v>
      </c>
      <c r="J244">
        <f t="shared" ca="1" si="28"/>
        <v>0.1</v>
      </c>
      <c r="K244">
        <f t="shared" ca="1" si="32"/>
        <v>-635564015777.61084</v>
      </c>
      <c r="L244" s="4">
        <f t="shared" ca="1" si="29"/>
        <v>-1</v>
      </c>
      <c r="M244" t="str">
        <f t="shared" ca="1" si="30"/>
        <v>&gt;3</v>
      </c>
      <c r="N244" t="str">
        <f t="shared" ca="1" si="31"/>
        <v>Reject</v>
      </c>
    </row>
    <row r="245" spans="1:14" x14ac:dyDescent="0.3">
      <c r="A245" t="s">
        <v>255</v>
      </c>
      <c r="B245" t="str" cm="1">
        <f t="array" ref="B245">INDEX([1]Sheet1!$A$2:$A$26, INT((ROW()-5)/10)+1)</f>
        <v>Ashok Leyland</v>
      </c>
      <c r="C245" t="str">
        <f>VLOOKUP(B245, [1]Sheet1!$A:$B, 2, FALSE)</f>
        <v>Automobile</v>
      </c>
      <c r="D245">
        <f ca="1">VLOOKUP($B245, [1]Sheet1!$A:$F, 3, FALSE) * (RANDBETWEEN(10,25)/100)</f>
        <v>786600000000</v>
      </c>
      <c r="E245">
        <f t="shared" ca="1" si="26"/>
        <v>-786600000000</v>
      </c>
      <c r="F245">
        <f ca="1">VLOOKUP($B245, [1]Sheet1!$A:$F, 4, FALSE) * (RANDBETWEEN(40,70)/100)</f>
        <v>128255600000</v>
      </c>
      <c r="G245">
        <f ca="1">VLOOKUP($B245, [1]Sheet1!$A:$F, 5, FALSE) * (RANDBETWEEN(60,100)/100)</f>
        <v>29625750000</v>
      </c>
      <c r="H245">
        <f t="shared" ca="1" si="25"/>
        <v>33180840000.000004</v>
      </c>
      <c r="I245">
        <f t="shared" ca="1" si="27"/>
        <v>6</v>
      </c>
      <c r="J245">
        <f t="shared" ca="1" si="28"/>
        <v>0.1</v>
      </c>
      <c r="K245">
        <f t="shared" ca="1" si="32"/>
        <v>-620590652892.56201</v>
      </c>
      <c r="L245" s="4">
        <f t="shared" ca="1" si="29"/>
        <v>-0.54759660875832594</v>
      </c>
      <c r="M245" t="str">
        <f t="shared" ca="1" si="30"/>
        <v>&gt;3</v>
      </c>
      <c r="N245" t="str">
        <f t="shared" ca="1" si="31"/>
        <v>Reject</v>
      </c>
    </row>
    <row r="246" spans="1:14" x14ac:dyDescent="0.3">
      <c r="A246" t="s">
        <v>256</v>
      </c>
      <c r="B246" t="str" cm="1">
        <f t="array" ref="B246">INDEX([1]Sheet1!$A$2:$A$26, INT((ROW()-5)/10)+1)</f>
        <v>Ashok Leyland</v>
      </c>
      <c r="C246" t="str">
        <f>VLOOKUP(B246, [1]Sheet1!$A:$B, 2, FALSE)</f>
        <v>Automobile</v>
      </c>
      <c r="D246">
        <f ca="1">VLOOKUP($B246, [1]Sheet1!$A:$F, 3, FALSE) * (RANDBETWEEN(10,25)/100)</f>
        <v>830300000000</v>
      </c>
      <c r="E246">
        <f t="shared" ca="1" si="26"/>
        <v>-830300000000</v>
      </c>
      <c r="F246">
        <f ca="1">VLOOKUP($B246, [1]Sheet1!$A:$F, 4, FALSE) * (RANDBETWEEN(40,70)/100)</f>
        <v>204043000000</v>
      </c>
      <c r="G246">
        <f ca="1">VLOOKUP($B246, [1]Sheet1!$A:$F, 5, FALSE) * (RANDBETWEEN(60,100)/100)</f>
        <v>22743000000</v>
      </c>
      <c r="H246">
        <f t="shared" ca="1" si="25"/>
        <v>25699589999.999996</v>
      </c>
      <c r="I246">
        <f t="shared" ca="1" si="27"/>
        <v>6</v>
      </c>
      <c r="J246">
        <f t="shared" ca="1" si="28"/>
        <v>0.1</v>
      </c>
      <c r="K246">
        <f t="shared" ca="1" si="32"/>
        <v>-606702013523.6665</v>
      </c>
      <c r="L246" s="4">
        <f t="shared" ca="1" si="29"/>
        <v>-0.54474501274787479</v>
      </c>
      <c r="M246" t="str">
        <f t="shared" ca="1" si="30"/>
        <v>&gt;3</v>
      </c>
      <c r="N246" t="str">
        <f t="shared" ca="1" si="31"/>
        <v>Reject</v>
      </c>
    </row>
    <row r="247" spans="1:14" x14ac:dyDescent="0.3">
      <c r="A247" t="s">
        <v>257</v>
      </c>
      <c r="B247" t="str" cm="1">
        <f t="array" ref="B247">INDEX([1]Sheet1!$A$2:$A$26, INT((ROW()-5)/10)+1)</f>
        <v>Ashok Leyland</v>
      </c>
      <c r="C247" t="str">
        <f>VLOOKUP(B247, [1]Sheet1!$A:$B, 2, FALSE)</f>
        <v>Automobile</v>
      </c>
      <c r="D247">
        <f ca="1">VLOOKUP($B247, [1]Sheet1!$A:$F, 3, FALSE) * (RANDBETWEEN(10,25)/100)</f>
        <v>786600000000</v>
      </c>
      <c r="E247">
        <f t="shared" ca="1" si="26"/>
        <v>-786600000000</v>
      </c>
      <c r="F247">
        <f ca="1">VLOOKUP($B247, [1]Sheet1!$A:$F, 4, FALSE) * (RANDBETWEEN(40,70)/100)</f>
        <v>154489700000</v>
      </c>
      <c r="G247">
        <f ca="1">VLOOKUP($B247, [1]Sheet1!$A:$F, 5, FALSE) * (RANDBETWEEN(60,100)/100)</f>
        <v>23640750000</v>
      </c>
      <c r="H247">
        <f t="shared" ref="H247:H254" ca="1" si="33">G247 * (1 + RANDBETWEEN(5,20)/100)</f>
        <v>28132492500</v>
      </c>
      <c r="I247">
        <f t="shared" ca="1" si="27"/>
        <v>7</v>
      </c>
      <c r="J247">
        <f t="shared" ca="1" si="28"/>
        <v>0.12</v>
      </c>
      <c r="K247">
        <f t="shared" ca="1" si="32"/>
        <v>-609792354213.16968</v>
      </c>
      <c r="L247" s="4">
        <f t="shared" ca="1" si="29"/>
        <v>-0.55523084302328884</v>
      </c>
      <c r="M247" t="str">
        <f t="shared" ca="1" si="30"/>
        <v>&gt;3</v>
      </c>
      <c r="N247" t="str">
        <f t="shared" ca="1" si="31"/>
        <v>Reject</v>
      </c>
    </row>
    <row r="248" spans="1:14" x14ac:dyDescent="0.3">
      <c r="A248" t="s">
        <v>258</v>
      </c>
      <c r="B248" t="str" cm="1">
        <f t="array" ref="B248">INDEX([1]Sheet1!$A$2:$A$26, INT((ROW()-5)/10)+1)</f>
        <v>Ashok Leyland</v>
      </c>
      <c r="C248" t="str">
        <f>VLOOKUP(B248, [1]Sheet1!$A:$B, 2, FALSE)</f>
        <v>Automobile</v>
      </c>
      <c r="D248">
        <f ca="1">VLOOKUP($B248, [1]Sheet1!$A:$F, 3, FALSE) * (RANDBETWEEN(10,25)/100)</f>
        <v>830300000000</v>
      </c>
      <c r="E248">
        <f t="shared" ca="1" si="26"/>
        <v>-830300000000</v>
      </c>
      <c r="F248">
        <f ca="1">VLOOKUP($B248, [1]Sheet1!$A:$F, 4, FALSE) * (RANDBETWEEN(40,70)/100)</f>
        <v>137000299999.99998</v>
      </c>
      <c r="G248">
        <f ca="1">VLOOKUP($B248, [1]Sheet1!$A:$F, 5, FALSE) * (RANDBETWEEN(60,100)/100)</f>
        <v>27231750000</v>
      </c>
      <c r="H248">
        <f t="shared" ca="1" si="33"/>
        <v>31861147499.999996</v>
      </c>
      <c r="I248">
        <f t="shared" ca="1" si="27"/>
        <v>6</v>
      </c>
      <c r="J248">
        <f t="shared" ca="1" si="28"/>
        <v>0.1</v>
      </c>
      <c r="K248">
        <f t="shared" ca="1" si="32"/>
        <v>-659310942524.41772</v>
      </c>
      <c r="L248" s="4">
        <f t="shared" ca="1" si="29"/>
        <v>-1</v>
      </c>
      <c r="M248" t="str">
        <f t="shared" ca="1" si="30"/>
        <v>&gt;3</v>
      </c>
      <c r="N248" t="str">
        <f t="shared" ca="1" si="31"/>
        <v>Reject</v>
      </c>
    </row>
    <row r="249" spans="1:14" x14ac:dyDescent="0.3">
      <c r="A249" t="s">
        <v>259</v>
      </c>
      <c r="B249" t="str" cm="1">
        <f t="array" ref="B249">INDEX([1]Sheet1!$A$2:$A$26, INT((ROW()-5)/10)+1)</f>
        <v>Ashok Leyland</v>
      </c>
      <c r="C249" t="str">
        <f>VLOOKUP(B249, [1]Sheet1!$A:$B, 2, FALSE)</f>
        <v>Automobile</v>
      </c>
      <c r="D249">
        <f ca="1">VLOOKUP($B249, [1]Sheet1!$A:$F, 3, FALSE) * (RANDBETWEEN(10,25)/100)</f>
        <v>961400000000</v>
      </c>
      <c r="E249">
        <f t="shared" ca="1" si="26"/>
        <v>-961400000000</v>
      </c>
      <c r="F249">
        <f ca="1">VLOOKUP($B249, [1]Sheet1!$A:$F, 4, FALSE) * (RANDBETWEEN(40,70)/100)</f>
        <v>201128099999.99997</v>
      </c>
      <c r="G249">
        <f ca="1">VLOOKUP($B249, [1]Sheet1!$A:$F, 5, FALSE) * (RANDBETWEEN(60,100)/100)</f>
        <v>25735500000</v>
      </c>
      <c r="H249">
        <f t="shared" ca="1" si="33"/>
        <v>30882600000</v>
      </c>
      <c r="I249">
        <f t="shared" ca="1" si="27"/>
        <v>4</v>
      </c>
      <c r="J249">
        <f t="shared" ca="1" si="28"/>
        <v>0.1</v>
      </c>
      <c r="K249">
        <f t="shared" ca="1" si="32"/>
        <v>-734084709992.48694</v>
      </c>
      <c r="L249" s="4">
        <f t="shared" ca="1" si="29"/>
        <v>-1</v>
      </c>
      <c r="M249" t="str">
        <f t="shared" ca="1" si="30"/>
        <v>&gt;3</v>
      </c>
      <c r="N249" t="str">
        <f t="shared" ca="1" si="31"/>
        <v>Reject</v>
      </c>
    </row>
    <row r="250" spans="1:14" x14ac:dyDescent="0.3">
      <c r="A250" t="s">
        <v>260</v>
      </c>
      <c r="B250" t="str" cm="1">
        <f t="array" ref="B250">INDEX([1]Sheet1!$A$2:$A$26, INT((ROW()-5)/10)+1)</f>
        <v>Ashok Leyland</v>
      </c>
      <c r="C250" t="str">
        <f>VLOOKUP(B250, [1]Sheet1!$A:$B, 2, FALSE)</f>
        <v>Automobile</v>
      </c>
      <c r="D250">
        <f ca="1">VLOOKUP($B250, [1]Sheet1!$A:$F, 3, FALSE) * (RANDBETWEEN(10,25)/100)</f>
        <v>1048800000000</v>
      </c>
      <c r="E250">
        <f t="shared" ca="1" si="26"/>
        <v>-1048800000000</v>
      </c>
      <c r="F250">
        <f ca="1">VLOOKUP($B250, [1]Sheet1!$A:$F, 4, FALSE) * (RANDBETWEEN(40,70)/100)</f>
        <v>137000299999.99998</v>
      </c>
      <c r="G250">
        <f ca="1">VLOOKUP($B250, [1]Sheet1!$A:$F, 5, FALSE) * (RANDBETWEEN(60,100)/100)</f>
        <v>19152000000</v>
      </c>
      <c r="H250">
        <f t="shared" ca="1" si="33"/>
        <v>22024800000</v>
      </c>
      <c r="I250">
        <f t="shared" ca="1" si="27"/>
        <v>7</v>
      </c>
      <c r="J250">
        <f t="shared" ca="1" si="28"/>
        <v>0.12</v>
      </c>
      <c r="K250">
        <f t="shared" ca="1" si="32"/>
        <v>-895533628826.53064</v>
      </c>
      <c r="L250" s="4">
        <f t="shared" ca="1" si="29"/>
        <v>-0.64800507638080662</v>
      </c>
      <c r="M250" t="str">
        <f t="shared" ca="1" si="30"/>
        <v>&gt;3</v>
      </c>
      <c r="N250" t="str">
        <f t="shared" ca="1" si="31"/>
        <v>Reject</v>
      </c>
    </row>
    <row r="251" spans="1:14" x14ac:dyDescent="0.3">
      <c r="A251" t="s">
        <v>261</v>
      </c>
      <c r="B251" t="str" cm="1">
        <f t="array" ref="B251">INDEX([1]Sheet1!$A$2:$A$26, INT((ROW()-5)/10)+1)</f>
        <v>Ashok Leyland</v>
      </c>
      <c r="C251" t="str">
        <f>VLOOKUP(B251, [1]Sheet1!$A:$B, 2, FALSE)</f>
        <v>Automobile</v>
      </c>
      <c r="D251">
        <f ca="1">VLOOKUP($B251, [1]Sheet1!$A:$F, 3, FALSE) * (RANDBETWEEN(10,25)/100)</f>
        <v>524400000000</v>
      </c>
      <c r="E251">
        <f t="shared" ca="1" si="26"/>
        <v>-524400000000</v>
      </c>
      <c r="F251">
        <f ca="1">VLOOKUP($B251, [1]Sheet1!$A:$F, 4, FALSE) * (RANDBETWEEN(40,70)/100)</f>
        <v>139915200000</v>
      </c>
      <c r="G251">
        <f ca="1">VLOOKUP($B251, [1]Sheet1!$A:$F, 5, FALSE) * (RANDBETWEEN(60,100)/100)</f>
        <v>26034750000</v>
      </c>
      <c r="H251">
        <f t="shared" ca="1" si="33"/>
        <v>30721005000</v>
      </c>
      <c r="I251">
        <f t="shared" ca="1" si="27"/>
        <v>6</v>
      </c>
      <c r="J251">
        <f t="shared" ca="1" si="28"/>
        <v>0.1</v>
      </c>
      <c r="K251">
        <f t="shared" ca="1" si="32"/>
        <v>-352606895567.24268</v>
      </c>
      <c r="L251" s="4">
        <f t="shared" ca="1" si="29"/>
        <v>-0.44960364618378901</v>
      </c>
      <c r="M251" t="str">
        <f t="shared" ca="1" si="30"/>
        <v>&gt;3</v>
      </c>
      <c r="N251" t="str">
        <f t="shared" ca="1" si="31"/>
        <v>Reject</v>
      </c>
    </row>
    <row r="252" spans="1:14" x14ac:dyDescent="0.3">
      <c r="A252" t="s">
        <v>262</v>
      </c>
      <c r="B252" t="str" cm="1">
        <f t="array" ref="B252">INDEX([1]Sheet1!$A$2:$A$26, INT((ROW()-5)/10)+1)</f>
        <v>Ashok Leyland</v>
      </c>
      <c r="C252" t="str">
        <f>VLOOKUP(B252, [1]Sheet1!$A:$B, 2, FALSE)</f>
        <v>Automobile</v>
      </c>
      <c r="D252">
        <f ca="1">VLOOKUP($B252, [1]Sheet1!$A:$F, 3, FALSE) * (RANDBETWEEN(10,25)/100)</f>
        <v>1092500000000</v>
      </c>
      <c r="E252">
        <f t="shared" ca="1" si="26"/>
        <v>-1092500000000</v>
      </c>
      <c r="F252">
        <f ca="1">VLOOKUP($B252, [1]Sheet1!$A:$F, 4, FALSE) * (RANDBETWEEN(40,70)/100)</f>
        <v>186553600000</v>
      </c>
      <c r="G252">
        <f ca="1">VLOOKUP($B252, [1]Sheet1!$A:$F, 5, FALSE) * (RANDBETWEEN(60,100)/100)</f>
        <v>17955000000</v>
      </c>
      <c r="H252">
        <f t="shared" ca="1" si="33"/>
        <v>19032300000</v>
      </c>
      <c r="I252">
        <f t="shared" ca="1" si="27"/>
        <v>7</v>
      </c>
      <c r="J252">
        <f t="shared" ca="1" si="28"/>
        <v>0.12</v>
      </c>
      <c r="K252">
        <f t="shared" ca="1" si="32"/>
        <v>-898073854432.39795</v>
      </c>
      <c r="L252" s="4">
        <f t="shared" ca="1" si="29"/>
        <v>-0.644849605659092</v>
      </c>
      <c r="M252" t="str">
        <f t="shared" ca="1" si="30"/>
        <v>&gt;3</v>
      </c>
      <c r="N252" t="str">
        <f t="shared" ca="1" si="31"/>
        <v>Reject</v>
      </c>
    </row>
    <row r="253" spans="1:14" x14ac:dyDescent="0.3">
      <c r="A253" t="s">
        <v>263</v>
      </c>
      <c r="B253" t="str" cm="1">
        <f t="array" ref="B253">INDEX([1]Sheet1!$A$2:$A$26, INT((ROW()-5)/10)+1)</f>
        <v>Ashok Leyland</v>
      </c>
      <c r="C253" t="str">
        <f>VLOOKUP(B253, [1]Sheet1!$A:$B, 2, FALSE)</f>
        <v>Automobile</v>
      </c>
      <c r="D253">
        <f ca="1">VLOOKUP($B253, [1]Sheet1!$A:$F, 3, FALSE) * (RANDBETWEEN(10,25)/100)</f>
        <v>1005100000000</v>
      </c>
      <c r="E253">
        <f t="shared" ca="1" si="26"/>
        <v>-1005100000000</v>
      </c>
      <c r="F253">
        <f ca="1">VLOOKUP($B253, [1]Sheet1!$A:$F, 4, FALSE) * (RANDBETWEEN(40,70)/100)</f>
        <v>116596000000</v>
      </c>
      <c r="G253">
        <f ca="1">VLOOKUP($B253, [1]Sheet1!$A:$F, 5, FALSE) * (RANDBETWEEN(60,100)/100)</f>
        <v>24239250000</v>
      </c>
      <c r="H253">
        <f t="shared" ca="1" si="33"/>
        <v>26905567500.000004</v>
      </c>
      <c r="I253">
        <f t="shared" ca="1" si="27"/>
        <v>6</v>
      </c>
      <c r="J253">
        <f t="shared" ca="1" si="28"/>
        <v>0.1</v>
      </c>
      <c r="K253">
        <f t="shared" ca="1" si="32"/>
        <v>-858856647257.70093</v>
      </c>
      <c r="L253" s="4">
        <f t="shared" ca="1" si="29"/>
        <v>-0.62697110017366753</v>
      </c>
      <c r="M253" t="str">
        <f t="shared" ca="1" si="30"/>
        <v>&gt;3</v>
      </c>
      <c r="N253" t="str">
        <f t="shared" ca="1" si="31"/>
        <v>Reject</v>
      </c>
    </row>
    <row r="254" spans="1:14" x14ac:dyDescent="0.3">
      <c r="A254" t="s">
        <v>264</v>
      </c>
      <c r="B254" t="str" cm="1">
        <f t="array" ref="B254">INDEX([1]Sheet1!$A$2:$A$26, INT((ROW()-5)/10)+1)</f>
        <v>Ashok Leyland</v>
      </c>
      <c r="C254" t="str">
        <f>VLOOKUP(B254, [1]Sheet1!$A:$B, 2, FALSE)</f>
        <v>Automobile</v>
      </c>
      <c r="D254">
        <f ca="1">VLOOKUP($B254, [1]Sheet1!$A:$F, 3, FALSE) * (RANDBETWEEN(10,25)/100)</f>
        <v>1048800000000</v>
      </c>
      <c r="E254">
        <f t="shared" ca="1" si="26"/>
        <v>-1048800000000</v>
      </c>
      <c r="F254">
        <f ca="1">VLOOKUP($B254, [1]Sheet1!$A:$F, 4, FALSE) * (RANDBETWEEN(40,70)/100)</f>
        <v>189468500000</v>
      </c>
      <c r="G254">
        <f ca="1">VLOOKUP($B254, [1]Sheet1!$A:$F, 5, FALSE) * (RANDBETWEEN(60,100)/100)</f>
        <v>29326500000</v>
      </c>
      <c r="H254">
        <f t="shared" ca="1" si="33"/>
        <v>31965885000.000004</v>
      </c>
      <c r="I254">
        <f t="shared" ca="1" si="27"/>
        <v>4</v>
      </c>
      <c r="J254">
        <f t="shared" ca="1" si="28"/>
        <v>0.1</v>
      </c>
      <c r="K254">
        <f t="shared" ca="1" si="32"/>
        <v>-828302689706.9873</v>
      </c>
      <c r="L254" s="4">
        <f t="shared" ca="1" si="29"/>
        <v>-1</v>
      </c>
      <c r="M254" t="str">
        <f t="shared" ca="1" si="30"/>
        <v>&gt;3</v>
      </c>
      <c r="N254" t="str">
        <f t="shared" ca="1" si="31"/>
        <v>Reject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pal</dc:creator>
  <cp:lastModifiedBy>Deepti pal</cp:lastModifiedBy>
  <dcterms:created xsi:type="dcterms:W3CDTF">2026-02-09T15:26:28Z</dcterms:created>
  <dcterms:modified xsi:type="dcterms:W3CDTF">2026-02-11T18:14:11Z</dcterms:modified>
</cp:coreProperties>
</file>